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hidePivotFieldList="1" defaultThemeVersion="166925"/>
  <mc:AlternateContent xmlns:mc="http://schemas.openxmlformats.org/markup-compatibility/2006">
    <mc:Choice Requires="x15">
      <x15ac:absPath xmlns:x15ac="http://schemas.microsoft.com/office/spreadsheetml/2010/11/ac" url="C:\Users\pooja\OneDrive\Desktop\MS EXCEL-DS\"/>
    </mc:Choice>
  </mc:AlternateContent>
  <xr:revisionPtr revIDLastSave="0" documentId="13_ncr:1_{91AD075A-03E9-46C0-AE4C-89645D70D04F}" xr6:coauthVersionLast="47" xr6:coauthVersionMax="47" xr10:uidLastSave="{00000000-0000-0000-0000-000000000000}"/>
  <bookViews>
    <workbookView xWindow="-108" yWindow="-108" windowWidth="23256" windowHeight="12456" activeTab="1" xr2:uid="{243ED824-6791-479D-9415-D7D4121AABC6}"/>
  </bookViews>
  <sheets>
    <sheet name="NZ Staff" sheetId="1" r:id="rId1"/>
    <sheet name="India Staff" sheetId="2" r:id="rId2"/>
    <sheet name="All staff" sheetId="5" r:id="rId3"/>
    <sheet name="Report card to show NZ vs. IND" sheetId="14" r:id="rId4"/>
    <sheet name="Info finder 2.0" sheetId="6" r:id="rId5"/>
    <sheet name="Male vs female" sheetId="7" r:id="rId6"/>
    <sheet name="Salary spread" sheetId="8" r:id="rId7"/>
    <sheet name="Salary vs Rating" sheetId="9" r:id="rId8"/>
    <sheet name="Employee Trend over time" sheetId="12" r:id="rId9"/>
    <sheet name="Extra" sheetId="15" r:id="rId10"/>
  </sheets>
  <definedNames>
    <definedName name="_xlchart.v1.0" hidden="1">'All staff'!$F$1</definedName>
    <definedName name="_xlchart.v1.1" hidden="1">'All staff'!$F$2:$F$180</definedName>
    <definedName name="_xlchart.v1.2" hidden="1">'All staff'!$F$1</definedName>
    <definedName name="_xlchart.v1.3" hidden="1">'All staff'!$F$2:$F$180</definedName>
    <definedName name="_xlchart.v1.4" hidden="1">'All staff'!$F$1</definedName>
    <definedName name="_xlchart.v1.5" hidden="1">'All staff'!$F$2:$F$180</definedName>
    <definedName name="_xlcn.WorksheetConnection_EmployeedataAnalysisandpresenting.xlsxAppend11" hidden="1">Append1[]</definedName>
    <definedName name="blank_data_file" localSheetId="0" hidden="1">'NZ Staff'!$A$1:$G$101</definedName>
    <definedName name="ExternalData_1" localSheetId="2" hidden="1">'All staff'!$A$1:$H$180</definedName>
    <definedName name="Slicer_Custom">#N/A</definedName>
    <definedName name="Slicer_Custom1">#N/A</definedName>
  </definedNames>
  <calcPr calcId="181029"/>
  <pivotCaches>
    <pivotCache cacheId="140" r:id="rId11"/>
    <pivotCache cacheId="109" r:id="rId12"/>
    <pivotCache cacheId="133" r:id="rId13"/>
    <pivotCache cacheId="139"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ppend1" name="Append1" connection="WorksheetConnection_Employee data-Analysis and presenting.xlsx!Append1"/>
        </x15:modelTables>
        <x15:extLst>
          <ext xmlns:x16="http://schemas.microsoft.com/office/spreadsheetml/2014/11/main" uri="{9835A34E-60A6-4A7C-AAB8-D5F71C897F49}">
            <x16:modelTimeGroupings>
              <x16:modelTimeGrouping tableName="Append1" columnName="Date joined" columnId="Date joined">
                <x16:calculatedTimeColumn columnName="Date joined (Year)" columnId="Date joined (Year)" contentType="years" isSelected="1"/>
                <x16:calculatedTimeColumn columnName="Date joined (Quarter)" columnId="Date joined (Quarter)" contentType="quarters" isSelected="1"/>
                <x16:calculatedTimeColumn columnName="Date joined (Month Index)" columnId="Date joined (Month Index)" contentType="monthsindex" isSelected="1"/>
                <x16:calculatedTimeColumn columnName="Date joined (Month)" columnId="Date joined (Month)" contentType="months" isSelected="1"/>
              </x16:modelTimeGrouping>
            </x16:modelTimeGroupings>
          </ext>
        </x15:extLst>
      </x15:dataModel>
    </ext>
  </extLst>
</workbook>
</file>

<file path=xl/calcChain.xml><?xml version="1.0" encoding="utf-8"?>
<calcChain xmlns="http://schemas.openxmlformats.org/spreadsheetml/2006/main">
  <c r="A6" i="15" l="1"/>
  <c r="A5" i="15"/>
  <c r="A4" i="1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O4" i="5"/>
  <c r="C9" i="6"/>
  <c r="N19" i="5"/>
  <c r="O5" i="5"/>
  <c r="P5" i="5"/>
  <c r="O6" i="5"/>
  <c r="P6" i="5"/>
  <c r="O8" i="5"/>
  <c r="O9" i="5"/>
  <c r="M13" i="5"/>
  <c r="M15" i="5"/>
  <c r="I2" i="5"/>
  <c r="J2" i="5" s="1"/>
  <c r="I3" i="5"/>
  <c r="J3" i="5" s="1"/>
  <c r="I4" i="5"/>
  <c r="J4" i="5" s="1"/>
  <c r="I5" i="5"/>
  <c r="J5" i="5" s="1"/>
  <c r="I6" i="5"/>
  <c r="J6" i="5" s="1"/>
  <c r="I7" i="5"/>
  <c r="J7" i="5" s="1"/>
  <c r="I8" i="5"/>
  <c r="J8" i="5" s="1"/>
  <c r="I9" i="5"/>
  <c r="J9" i="5" s="1"/>
  <c r="I10" i="5"/>
  <c r="J10" i="5" s="1"/>
  <c r="I11" i="5"/>
  <c r="J11" i="5" s="1"/>
  <c r="I12" i="5"/>
  <c r="J12" i="5" s="1"/>
  <c r="I13" i="5"/>
  <c r="J13" i="5" s="1"/>
  <c r="I14" i="5"/>
  <c r="J14" i="5" s="1"/>
  <c r="I15" i="5"/>
  <c r="J15" i="5" s="1"/>
  <c r="I16" i="5"/>
  <c r="J16" i="5" s="1"/>
  <c r="I17" i="5"/>
  <c r="J17" i="5" s="1"/>
  <c r="I18" i="5"/>
  <c r="J18" i="5" s="1"/>
  <c r="I19" i="5"/>
  <c r="J19" i="5" s="1"/>
  <c r="I20" i="5"/>
  <c r="J20" i="5" s="1"/>
  <c r="I21" i="5"/>
  <c r="J21" i="5" s="1"/>
  <c r="I22" i="5"/>
  <c r="J22" i="5" s="1"/>
  <c r="I23" i="5"/>
  <c r="J23" i="5" s="1"/>
  <c r="I24" i="5"/>
  <c r="J24" i="5" s="1"/>
  <c r="I25" i="5"/>
  <c r="J25" i="5" s="1"/>
  <c r="I26" i="5"/>
  <c r="J26" i="5" s="1"/>
  <c r="I27" i="5"/>
  <c r="J27" i="5" s="1"/>
  <c r="I28" i="5"/>
  <c r="J28" i="5" s="1"/>
  <c r="I29" i="5"/>
  <c r="J29" i="5" s="1"/>
  <c r="I30" i="5"/>
  <c r="J30" i="5" s="1"/>
  <c r="I31" i="5"/>
  <c r="J31" i="5" s="1"/>
  <c r="I32" i="5"/>
  <c r="J32" i="5" s="1"/>
  <c r="I33" i="5"/>
  <c r="J33" i="5" s="1"/>
  <c r="I34" i="5"/>
  <c r="J34" i="5" s="1"/>
  <c r="I35" i="5"/>
  <c r="J35" i="5" s="1"/>
  <c r="I36" i="5"/>
  <c r="J36" i="5" s="1"/>
  <c r="I37" i="5"/>
  <c r="J37" i="5" s="1"/>
  <c r="I38" i="5"/>
  <c r="J38" i="5" s="1"/>
  <c r="I39" i="5"/>
  <c r="J39" i="5" s="1"/>
  <c r="I40" i="5"/>
  <c r="J40" i="5" s="1"/>
  <c r="I41" i="5"/>
  <c r="J41" i="5" s="1"/>
  <c r="I42" i="5"/>
  <c r="J42" i="5" s="1"/>
  <c r="I43" i="5"/>
  <c r="J43" i="5" s="1"/>
  <c r="I44" i="5"/>
  <c r="J44" i="5" s="1"/>
  <c r="I45" i="5"/>
  <c r="J45" i="5" s="1"/>
  <c r="I46" i="5"/>
  <c r="J46" i="5" s="1"/>
  <c r="I47" i="5"/>
  <c r="J47" i="5" s="1"/>
  <c r="I48" i="5"/>
  <c r="J48" i="5" s="1"/>
  <c r="I49" i="5"/>
  <c r="J49" i="5" s="1"/>
  <c r="I50" i="5"/>
  <c r="J50" i="5" s="1"/>
  <c r="I51" i="5"/>
  <c r="J51" i="5" s="1"/>
  <c r="I52" i="5"/>
  <c r="J52" i="5" s="1"/>
  <c r="I53" i="5"/>
  <c r="J53" i="5" s="1"/>
  <c r="I54" i="5"/>
  <c r="J54" i="5" s="1"/>
  <c r="I55" i="5"/>
  <c r="J55" i="5" s="1"/>
  <c r="I56" i="5"/>
  <c r="J56" i="5" s="1"/>
  <c r="I57" i="5"/>
  <c r="J57" i="5" s="1"/>
  <c r="I58" i="5"/>
  <c r="J58" i="5" s="1"/>
  <c r="I59" i="5"/>
  <c r="J59" i="5" s="1"/>
  <c r="I60" i="5"/>
  <c r="J60" i="5" s="1"/>
  <c r="I61" i="5"/>
  <c r="J61" i="5" s="1"/>
  <c r="I62" i="5"/>
  <c r="J62" i="5" s="1"/>
  <c r="I63" i="5"/>
  <c r="J63" i="5" s="1"/>
  <c r="I64" i="5"/>
  <c r="J64" i="5" s="1"/>
  <c r="I65" i="5"/>
  <c r="J65" i="5" s="1"/>
  <c r="I66" i="5"/>
  <c r="J66" i="5" s="1"/>
  <c r="I67" i="5"/>
  <c r="J67" i="5" s="1"/>
  <c r="I68" i="5"/>
  <c r="J68" i="5" s="1"/>
  <c r="I69" i="5"/>
  <c r="J69" i="5" s="1"/>
  <c r="I70" i="5"/>
  <c r="J70" i="5" s="1"/>
  <c r="I71" i="5"/>
  <c r="J71" i="5" s="1"/>
  <c r="I72" i="5"/>
  <c r="J72" i="5" s="1"/>
  <c r="I73" i="5"/>
  <c r="J73" i="5" s="1"/>
  <c r="I74" i="5"/>
  <c r="J74" i="5" s="1"/>
  <c r="I75" i="5"/>
  <c r="J75" i="5" s="1"/>
  <c r="I76" i="5"/>
  <c r="J76" i="5" s="1"/>
  <c r="I77" i="5"/>
  <c r="J77" i="5" s="1"/>
  <c r="I78" i="5"/>
  <c r="J78" i="5" s="1"/>
  <c r="I79" i="5"/>
  <c r="J79" i="5" s="1"/>
  <c r="I80" i="5"/>
  <c r="J80" i="5" s="1"/>
  <c r="I81" i="5"/>
  <c r="J81" i="5" s="1"/>
  <c r="I82" i="5"/>
  <c r="J82" i="5" s="1"/>
  <c r="I83" i="5"/>
  <c r="J83" i="5" s="1"/>
  <c r="I84" i="5"/>
  <c r="J84" i="5" s="1"/>
  <c r="I85" i="5"/>
  <c r="J85" i="5" s="1"/>
  <c r="I86" i="5"/>
  <c r="J86" i="5" s="1"/>
  <c r="I87" i="5"/>
  <c r="J87" i="5" s="1"/>
  <c r="I88" i="5"/>
  <c r="J88" i="5" s="1"/>
  <c r="I89" i="5"/>
  <c r="J89" i="5" s="1"/>
  <c r="I90" i="5"/>
  <c r="J90" i="5" s="1"/>
  <c r="I91" i="5"/>
  <c r="J91" i="5" s="1"/>
  <c r="I92" i="5"/>
  <c r="J92" i="5" s="1"/>
  <c r="I93" i="5"/>
  <c r="J93" i="5" s="1"/>
  <c r="I94" i="5"/>
  <c r="J94" i="5" s="1"/>
  <c r="I95" i="5"/>
  <c r="J95" i="5" s="1"/>
  <c r="I96" i="5"/>
  <c r="J96" i="5" s="1"/>
  <c r="I97" i="5"/>
  <c r="J97" i="5" s="1"/>
  <c r="I98" i="5"/>
  <c r="J98" i="5" s="1"/>
  <c r="I99" i="5"/>
  <c r="J99" i="5" s="1"/>
  <c r="I100" i="5"/>
  <c r="J100" i="5" s="1"/>
  <c r="I101" i="5"/>
  <c r="J101" i="5" s="1"/>
  <c r="I102" i="5"/>
  <c r="J102" i="5" s="1"/>
  <c r="I103" i="5"/>
  <c r="J103" i="5" s="1"/>
  <c r="I104" i="5"/>
  <c r="J104" i="5" s="1"/>
  <c r="I105" i="5"/>
  <c r="J105" i="5" s="1"/>
  <c r="I106" i="5"/>
  <c r="J106" i="5" s="1"/>
  <c r="I107" i="5"/>
  <c r="J107" i="5" s="1"/>
  <c r="I108" i="5"/>
  <c r="J108" i="5" s="1"/>
  <c r="I109" i="5"/>
  <c r="J109" i="5" s="1"/>
  <c r="I110" i="5"/>
  <c r="J110" i="5" s="1"/>
  <c r="I111" i="5"/>
  <c r="J111" i="5" s="1"/>
  <c r="I112" i="5"/>
  <c r="J112" i="5" s="1"/>
  <c r="I113" i="5"/>
  <c r="J113" i="5" s="1"/>
  <c r="I114" i="5"/>
  <c r="J114" i="5" s="1"/>
  <c r="I115" i="5"/>
  <c r="J115" i="5" s="1"/>
  <c r="I116" i="5"/>
  <c r="J116" i="5" s="1"/>
  <c r="I117" i="5"/>
  <c r="J117" i="5" s="1"/>
  <c r="I118" i="5"/>
  <c r="J118" i="5" s="1"/>
  <c r="I119" i="5"/>
  <c r="J119" i="5" s="1"/>
  <c r="I120" i="5"/>
  <c r="J120" i="5" s="1"/>
  <c r="I121" i="5"/>
  <c r="J121" i="5" s="1"/>
  <c r="I122" i="5"/>
  <c r="J122" i="5" s="1"/>
  <c r="I123" i="5"/>
  <c r="J123" i="5" s="1"/>
  <c r="I124" i="5"/>
  <c r="J124" i="5" s="1"/>
  <c r="I125" i="5"/>
  <c r="J125" i="5" s="1"/>
  <c r="I126" i="5"/>
  <c r="J126" i="5" s="1"/>
  <c r="I127" i="5"/>
  <c r="J127" i="5" s="1"/>
  <c r="I128" i="5"/>
  <c r="J128" i="5" s="1"/>
  <c r="I129" i="5"/>
  <c r="J129" i="5" s="1"/>
  <c r="I130" i="5"/>
  <c r="J130" i="5" s="1"/>
  <c r="I131" i="5"/>
  <c r="J131" i="5" s="1"/>
  <c r="I132" i="5"/>
  <c r="J132" i="5" s="1"/>
  <c r="I133" i="5"/>
  <c r="J133" i="5" s="1"/>
  <c r="I134" i="5"/>
  <c r="J134" i="5" s="1"/>
  <c r="I135" i="5"/>
  <c r="J135" i="5" s="1"/>
  <c r="I136" i="5"/>
  <c r="J136" i="5" s="1"/>
  <c r="I137" i="5"/>
  <c r="J137" i="5" s="1"/>
  <c r="I138" i="5"/>
  <c r="J138" i="5" s="1"/>
  <c r="I139" i="5"/>
  <c r="J139" i="5" s="1"/>
  <c r="I140" i="5"/>
  <c r="J140" i="5" s="1"/>
  <c r="I141" i="5"/>
  <c r="J141" i="5" s="1"/>
  <c r="I142" i="5"/>
  <c r="J142" i="5" s="1"/>
  <c r="I143" i="5"/>
  <c r="J143" i="5" s="1"/>
  <c r="I144" i="5"/>
  <c r="J144" i="5" s="1"/>
  <c r="I145" i="5"/>
  <c r="J145" i="5" s="1"/>
  <c r="I146" i="5"/>
  <c r="J146" i="5" s="1"/>
  <c r="I147" i="5"/>
  <c r="J147" i="5" s="1"/>
  <c r="I148" i="5"/>
  <c r="J148" i="5" s="1"/>
  <c r="I149" i="5"/>
  <c r="J149" i="5" s="1"/>
  <c r="I150" i="5"/>
  <c r="J150" i="5" s="1"/>
  <c r="I151" i="5"/>
  <c r="J151" i="5" s="1"/>
  <c r="I152" i="5"/>
  <c r="J152" i="5" s="1"/>
  <c r="I153" i="5"/>
  <c r="J153" i="5" s="1"/>
  <c r="I154" i="5"/>
  <c r="J154" i="5" s="1"/>
  <c r="I155" i="5"/>
  <c r="J155" i="5" s="1"/>
  <c r="I156" i="5"/>
  <c r="J156" i="5" s="1"/>
  <c r="I157" i="5"/>
  <c r="J157" i="5" s="1"/>
  <c r="I158" i="5"/>
  <c r="J158" i="5" s="1"/>
  <c r="I159" i="5"/>
  <c r="J159" i="5" s="1"/>
  <c r="I160" i="5"/>
  <c r="J160" i="5" s="1"/>
  <c r="I161" i="5"/>
  <c r="J161" i="5" s="1"/>
  <c r="I162" i="5"/>
  <c r="J162" i="5" s="1"/>
  <c r="I163" i="5"/>
  <c r="J163" i="5" s="1"/>
  <c r="I164" i="5"/>
  <c r="J164" i="5" s="1"/>
  <c r="I165" i="5"/>
  <c r="J165" i="5" s="1"/>
  <c r="I166" i="5"/>
  <c r="J166" i="5" s="1"/>
  <c r="I167" i="5"/>
  <c r="J167" i="5" s="1"/>
  <c r="I168" i="5"/>
  <c r="J168" i="5" s="1"/>
  <c r="I169" i="5"/>
  <c r="J169" i="5" s="1"/>
  <c r="I170" i="5"/>
  <c r="J170" i="5" s="1"/>
  <c r="I171" i="5"/>
  <c r="J171" i="5" s="1"/>
  <c r="I172" i="5"/>
  <c r="J172" i="5" s="1"/>
  <c r="I173" i="5"/>
  <c r="J173" i="5" s="1"/>
  <c r="I174" i="5"/>
  <c r="J174" i="5" s="1"/>
  <c r="I175" i="5"/>
  <c r="J175" i="5" s="1"/>
  <c r="I176" i="5"/>
  <c r="J176" i="5" s="1"/>
  <c r="I177" i="5"/>
  <c r="J177" i="5" s="1"/>
  <c r="I178" i="5"/>
  <c r="J178" i="5" s="1"/>
  <c r="I179" i="5"/>
  <c r="J179" i="5" s="1"/>
  <c r="I180" i="5"/>
  <c r="J180" i="5" s="1"/>
  <c r="P7" i="5" l="1"/>
  <c r="O7" i="5"/>
  <c r="D102" i="1" l="1"/>
  <c r="F102" i="1"/>
  <c r="G102" i="1"/>
  <c r="G11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F8609B-5694-4F79-AD67-9BAF60422464}" sourceFile="C:\Users\pooja\Downloads\blank-data-file.xlsx" keepAlive="1" name="blank-data-file" type="5" refreshedVersion="8" background="1" saveData="1">
    <dbPr connection="Provider=Microsoft.ACE.OLEDB.12.0;User ID=Admin;Data Source=C:\Users\pooja\Downloads\blank-data-file.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ta$" commandType="3"/>
  </connection>
  <connection id="2" xr16:uid="{CA7C85A3-C132-49F8-BBFC-E16FCFA0929A}"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3" xr16:uid="{B62AE19A-A772-4981-9AF9-329FA60A17BF}" keepAlive="1" name="Query - India_Staff" description="Connection to the 'India_Staff' query in the workbook." type="5" refreshedVersion="0" background="1">
    <dbPr connection="Provider=Microsoft.Mashup.OleDb.1;Data Source=$Workbook$;Location=India_Staff;Extended Properties=&quot;&quot;" command="SELECT * FROM [India_Staff]"/>
  </connection>
  <connection id="4" xr16:uid="{EC059025-ECB4-4F1A-A89A-A208F5FC6225}" keepAlive="1" name="Query - NZ_Staff" description="Connection to the 'NZ_Staff' query in the workbook." type="5" refreshedVersion="0" background="1">
    <dbPr connection="Provider=Microsoft.Mashup.OleDb.1;Data Source=$Workbook$;Location=NZ_Staff;Extended Properties=&quot;&quot;" command="SELECT * FROM [NZ_Staff]"/>
  </connection>
  <connection id="5" xr16:uid="{7A0874B3-13FF-4CDD-83B7-064193AC26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EACC7A9B-2BE7-4A89-B83B-880A1987E242}" name="WorksheetConnection_Employee data-Analysis and presenting.xlsx!Append1" type="102" refreshedVersion="8" minRefreshableVersion="5">
    <extLst>
      <ext xmlns:x15="http://schemas.microsoft.com/office/spreadsheetml/2010/11/main" uri="{DE250136-89BD-433C-8126-D09CA5730AF9}">
        <x15:connection id="Append1" autoDelete="1">
          <x15:rangePr sourceName="_xlcn.WorksheetConnection_EmployeedataAnalysisandpresenting.xlsxAppend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Append1].[Custom].&amp;[NZ]}"/>
    <s v="{[Append1].[Custom].&amp;[IND]}"/>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<sst xmlns="http://schemas.openxmlformats.org/spreadsheetml/2006/main" count="1877" uniqueCount="266">
  <si>
    <t>Name</t>
  </si>
  <si>
    <t>Gender</t>
  </si>
  <si>
    <t>Department</t>
  </si>
  <si>
    <t>Rating</t>
  </si>
  <si>
    <t>Lindy Guillet</t>
  </si>
  <si>
    <t>Male</t>
  </si>
  <si>
    <t>Sales</t>
  </si>
  <si>
    <t>Above average</t>
  </si>
  <si>
    <t>Ambros Murthwaite</t>
  </si>
  <si>
    <t>Procurement</t>
  </si>
  <si>
    <t>Average</t>
  </si>
  <si>
    <t>Tatum Hush</t>
  </si>
  <si>
    <t>Female</t>
  </si>
  <si>
    <t>Benny Karolovsky</t>
  </si>
  <si>
    <t>Finance</t>
  </si>
  <si>
    <t>Poor</t>
  </si>
  <si>
    <t>Hoyt D'Alesco</t>
  </si>
  <si>
    <t>Halimeda Kuscha</t>
  </si>
  <si>
    <t>Erin Androsik</t>
  </si>
  <si>
    <t>Vic Radolf</t>
  </si>
  <si>
    <t>Website</t>
  </si>
  <si>
    <t>William Reeveley</t>
  </si>
  <si>
    <t>Ewart Laphorn</t>
  </si>
  <si>
    <t>HR</t>
  </si>
  <si>
    <t>Bev Lashley</t>
  </si>
  <si>
    <t>Kath Bletsoe</t>
  </si>
  <si>
    <t>Murry Dryburgh</t>
  </si>
  <si>
    <t>Kaine Padly</t>
  </si>
  <si>
    <t>Kassi Jonson</t>
  </si>
  <si>
    <t>Simon Kembery</t>
  </si>
  <si>
    <t>Orton Livick</t>
  </si>
  <si>
    <t>Kelci Walkden</t>
  </si>
  <si>
    <t>Dotty Strutley</t>
  </si>
  <si>
    <t>Shari McNee</t>
  </si>
  <si>
    <t>Oby Sorrel</t>
  </si>
  <si>
    <t>Husein Augar</t>
  </si>
  <si>
    <t>Brien Boise</t>
  </si>
  <si>
    <t>Esmaria Denecamp</t>
  </si>
  <si>
    <t>Curtice Advani</t>
  </si>
  <si>
    <t>Barr Faughny</t>
  </si>
  <si>
    <t>Exceptional</t>
  </si>
  <si>
    <t>Merrilee Plenty</t>
  </si>
  <si>
    <t>Niall Selesnick</t>
  </si>
  <si>
    <t>Beverie Moffet</t>
  </si>
  <si>
    <t>Jehu Rudeforth</t>
  </si>
  <si>
    <t>Camilla Castle</t>
  </si>
  <si>
    <t>Very poor</t>
  </si>
  <si>
    <t>Roddy Speechley</t>
  </si>
  <si>
    <t>Gray Seamon</t>
  </si>
  <si>
    <t>Madelene Upcott</t>
  </si>
  <si>
    <t>Violante Courtonne</t>
  </si>
  <si>
    <t>Bernie Gorges</t>
  </si>
  <si>
    <t>Torrance Collier</t>
  </si>
  <si>
    <t>Dyna Doucette</t>
  </si>
  <si>
    <t>Gunar Cockshoot</t>
  </si>
  <si>
    <t>Kaye Crocroft</t>
  </si>
  <si>
    <t>Allene Gobbet</t>
  </si>
  <si>
    <t>Sibyl Dunkirk</t>
  </si>
  <si>
    <t>Agnes Collicott</t>
  </si>
  <si>
    <t>Leilah Yesinin</t>
  </si>
  <si>
    <t>Mollie Hanway</t>
  </si>
  <si>
    <t>Kellsie Waby</t>
  </si>
  <si>
    <t>Hyacinthie Braybrooke</t>
  </si>
  <si>
    <t>Van Tuxwell</t>
  </si>
  <si>
    <t>Lilyan Klimpt</t>
  </si>
  <si>
    <t>Tawnya Tickel</t>
  </si>
  <si>
    <t>Jan Morforth</t>
  </si>
  <si>
    <t>Florinda Crace</t>
  </si>
  <si>
    <t>Tracy Renad</t>
  </si>
  <si>
    <t>Myer McCory</t>
  </si>
  <si>
    <t>Bennie Pepis</t>
  </si>
  <si>
    <t>Rafaelita Blaksland</t>
  </si>
  <si>
    <t>Mahalia Larcher</t>
  </si>
  <si>
    <t>Andria Kimpton</t>
  </si>
  <si>
    <t>Valentia Etteridge</t>
  </si>
  <si>
    <t>Virginia McConville</t>
  </si>
  <si>
    <t>Wilone O'Kielt</t>
  </si>
  <si>
    <t>Madge McCloughen</t>
  </si>
  <si>
    <t>Janene Hairsine</t>
  </si>
  <si>
    <t>Alta Kaszper</t>
  </si>
  <si>
    <t>Dennison Crosswaite</t>
  </si>
  <si>
    <t>Oran Buxcy</t>
  </si>
  <si>
    <t>Hinda Label</t>
  </si>
  <si>
    <t>Marney O'Breen</t>
  </si>
  <si>
    <t>Dell Molloy</t>
  </si>
  <si>
    <t>Mallorie Waber</t>
  </si>
  <si>
    <t>Cherlyn Barter</t>
  </si>
  <si>
    <t>Ches Bonnell</t>
  </si>
  <si>
    <t>Collin Jagson</t>
  </si>
  <si>
    <t>Hogan Iles</t>
  </si>
  <si>
    <t>Gretchen Callow</t>
  </si>
  <si>
    <t>Kissiah Maydway</t>
  </si>
  <si>
    <t>Archibald Filliskirk</t>
  </si>
  <si>
    <t>Enoch Dowrey</t>
  </si>
  <si>
    <t>Bili Sizey</t>
  </si>
  <si>
    <t>Caro Chappel</t>
  </si>
  <si>
    <t>Constantino Espley</t>
  </si>
  <si>
    <t>Karlen McCaffrey</t>
  </si>
  <si>
    <t>Drusy MacCombe</t>
  </si>
  <si>
    <t>My Hanscome</t>
  </si>
  <si>
    <t>Teressa Udden</t>
  </si>
  <si>
    <t>Crissie Cordel</t>
  </si>
  <si>
    <t>Elia Cockton</t>
  </si>
  <si>
    <t>Gigi Bohling</t>
  </si>
  <si>
    <t>Ebonee Roxburgh</t>
  </si>
  <si>
    <t>Shayne Stegel</t>
  </si>
  <si>
    <t>Zach Polon</t>
  </si>
  <si>
    <t>Salary</t>
  </si>
  <si>
    <t>Age</t>
  </si>
  <si>
    <t>Date Joined</t>
  </si>
  <si>
    <t>Deepali Charan</t>
  </si>
  <si>
    <t>Yagna Sujeev</t>
  </si>
  <si>
    <t>Satyendra Venkatadri</t>
  </si>
  <si>
    <t>Madhavdas Buhpathi</t>
  </si>
  <si>
    <t>Sahila Chandrasekhar</t>
  </si>
  <si>
    <t>Mirium Seemantini Shivakumar</t>
  </si>
  <si>
    <t>Purnendu Vijayarangan</t>
  </si>
  <si>
    <t>Rukma Vinita</t>
  </si>
  <si>
    <t>Yauvani Tarpa</t>
  </si>
  <si>
    <t>Damayanti Thangavadivelu</t>
  </si>
  <si>
    <t>Manjusri Ruchi</t>
  </si>
  <si>
    <t>Mithil Nadkarni</t>
  </si>
  <si>
    <t>Ardhendu Abhichandra Jayakar</t>
  </si>
  <si>
    <t>Akbar Sorabhjee</t>
  </si>
  <si>
    <t>Bandhula Sathyanna</t>
  </si>
  <si>
    <t>Daruka Ghazali</t>
  </si>
  <si>
    <t>Heer Pennathur</t>
  </si>
  <si>
    <t>Shekhar Eswara</t>
  </si>
  <si>
    <t>Udyan Lanka</t>
  </si>
  <si>
    <t>Shreela Ramasubraman</t>
  </si>
  <si>
    <t>Sanchali Shirish</t>
  </si>
  <si>
    <t>Gangadutt Ragha</t>
  </si>
  <si>
    <t>Waheeda Vasuman</t>
  </si>
  <si>
    <t>Nanak Sapna</t>
  </si>
  <si>
    <t>Shobhana Samuel</t>
  </si>
  <si>
    <t>Amlankusum Rajabhushan</t>
  </si>
  <si>
    <t>Pratigya Rema</t>
  </si>
  <si>
    <t>Ramnath Ravuri</t>
  </si>
  <si>
    <t>Prerana Nishita</t>
  </si>
  <si>
    <t>Makshi Vinutha</t>
  </si>
  <si>
    <t>Shiuli Sapna</t>
  </si>
  <si>
    <t>Agrata Rajarama</t>
  </si>
  <si>
    <t>Vasu Nandin</t>
  </si>
  <si>
    <t>Bhuvan Pals</t>
  </si>
  <si>
    <t>Gumwant Veera</t>
  </si>
  <si>
    <t>Narois Motiwala</t>
  </si>
  <si>
    <t>Anjushri Chandiramani</t>
  </si>
  <si>
    <t>Krishnakanta Vellanki</t>
  </si>
  <si>
    <t>Dhruv Manjunath</t>
  </si>
  <si>
    <t>Vanmala Shriharsha</t>
  </si>
  <si>
    <t>Sameer Shashank Sapra</t>
  </si>
  <si>
    <t>Anumati Shyamari Meherhomji</t>
  </si>
  <si>
    <t>Tarala Vishaal</t>
  </si>
  <si>
    <t>Shubhra Potla</t>
  </si>
  <si>
    <t>Hemavati Muthiah</t>
  </si>
  <si>
    <t>Krittika Gaekwad</t>
  </si>
  <si>
    <t>Shevantilal Muppala</t>
  </si>
  <si>
    <t>Shattesh Utpat</t>
  </si>
  <si>
    <t>Kamalakshi Mukundan</t>
  </si>
  <si>
    <t>Chandana Sannidhi Surnilla</t>
  </si>
  <si>
    <t>Indu Varada Sumedh</t>
  </si>
  <si>
    <t>Karuna Pashupathy</t>
  </si>
  <si>
    <t>Mardav Ramaswami</t>
  </si>
  <si>
    <t>Sarayu Ragunathan</t>
  </si>
  <si>
    <t>Kevalkumar Solanki</t>
  </si>
  <si>
    <t>Upendra Swati</t>
  </si>
  <si>
    <t>Deepit Ranjana</t>
  </si>
  <si>
    <t>Amal Nimesh</t>
  </si>
  <si>
    <t>Kunja Prashanta Vibha</t>
  </si>
  <si>
    <t>Godavari Veena</t>
  </si>
  <si>
    <t>Devasree Fullara Saurin</t>
  </si>
  <si>
    <t>Geena Raghavanpillai</t>
  </si>
  <si>
    <t>Rupak Mehra</t>
  </si>
  <si>
    <t>Sawini Chandan</t>
  </si>
  <si>
    <t>Baruna Ogale</t>
  </si>
  <si>
    <t>Jagajeet Viraj</t>
  </si>
  <si>
    <t>Kulbhushan Moorthy</t>
  </si>
  <si>
    <t>Ilesh Dasgupta</t>
  </si>
  <si>
    <t>Madhumati Gazala Soumitra</t>
  </si>
  <si>
    <t>Chitrasen Laul</t>
  </si>
  <si>
    <t>Jaishree Atasi Yavatkar</t>
  </si>
  <si>
    <t>Kantimoy Pritish</t>
  </si>
  <si>
    <t>Rameshwari Chikodi</t>
  </si>
  <si>
    <t>Lalit Kothari</t>
  </si>
  <si>
    <t>Sahas Sanabhi Shrikant</t>
  </si>
  <si>
    <t>Kaishori Harathi Kateel</t>
  </si>
  <si>
    <t>Rushil Kripa</t>
  </si>
  <si>
    <t>Sarojini Naueshwara</t>
  </si>
  <si>
    <t>Sartaj Probal</t>
  </si>
  <si>
    <t>Mahindra Sreedharan</t>
  </si>
  <si>
    <t>Suchira Bhanupriya Tapti</t>
  </si>
  <si>
    <t>Fullara Sushanti Mokate</t>
  </si>
  <si>
    <t>Hridaynath Tendulkar</t>
  </si>
  <si>
    <t>Abhaya Priyavardhan</t>
  </si>
  <si>
    <t>Ayog Chakrabarti</t>
  </si>
  <si>
    <t>Pragya Nilufar</t>
  </si>
  <si>
    <t>Shulabh Qutub Sundaramoorthy</t>
  </si>
  <si>
    <t>Vinanti Choudhari</t>
  </si>
  <si>
    <t>Ranajay Kailashnath Richa</t>
  </si>
  <si>
    <t>Asija Pothireddy</t>
  </si>
  <si>
    <t>Piyali Mahanthapa</t>
  </si>
  <si>
    <t>Sukhdev Nageshwar</t>
  </si>
  <si>
    <t>Total</t>
  </si>
  <si>
    <t>Date joined</t>
  </si>
  <si>
    <t>Custom</t>
  </si>
  <si>
    <t>IND</t>
  </si>
  <si>
    <t>other</t>
  </si>
  <si>
    <t>either can be done by pivot or by formulas, we will go with formulas</t>
  </si>
  <si>
    <t>1.Quick analysis of the data-</t>
  </si>
  <si>
    <t>a.count of employee</t>
  </si>
  <si>
    <t>b.avg salary</t>
  </si>
  <si>
    <t>c.avg age</t>
  </si>
  <si>
    <t>D.AVG Tenure-before doing avg tenure calculate tenure first with =today-doj/365</t>
  </si>
  <si>
    <t>e.female count</t>
  </si>
  <si>
    <t>NZ</t>
  </si>
  <si>
    <t>tenure</t>
  </si>
  <si>
    <t>Ratio %</t>
  </si>
  <si>
    <t>what % of our staff have more than 90000 salary</t>
  </si>
  <si>
    <t>count of staff who have salary &gt;90000</t>
  </si>
  <si>
    <t>ratio of the staff who have more than 90000</t>
  </si>
  <si>
    <t>2.Information finder</t>
  </si>
  <si>
    <t xml:space="preserve">a.find the salary detail fo vic radolf </t>
  </si>
  <si>
    <t>3.extend information finder</t>
  </si>
  <si>
    <t>Department name</t>
  </si>
  <si>
    <t>display the empname , salary and rating of the employees who works in sales dept,sort in desc order of salary and count of emp in sales</t>
  </si>
  <si>
    <t>use filter command</t>
  </si>
  <si>
    <t>and choosecols</t>
  </si>
  <si>
    <t>number of people in sales</t>
  </si>
  <si>
    <t>website</t>
  </si>
  <si>
    <t>4. Male and female comparision</t>
  </si>
  <si>
    <t>Column Labels</t>
  </si>
  <si>
    <t>Grand Total</t>
  </si>
  <si>
    <t>Count of Name</t>
  </si>
  <si>
    <t>Average of Age</t>
  </si>
  <si>
    <t>Values</t>
  </si>
  <si>
    <t>Average of Salary</t>
  </si>
  <si>
    <t>Average of tenure</t>
  </si>
  <si>
    <t>6. Give the bonus of 3% salary given the employee should be working for atleast 2 years or else 2% bonus</t>
  </si>
  <si>
    <t xml:space="preserve">Bonus </t>
  </si>
  <si>
    <t>Bonu column formula ROUND(IF([@tenure]&gt;2,3%,2%)*[@Salary],0)</t>
  </si>
  <si>
    <t>Analysing salary spread across the employees</t>
  </si>
  <si>
    <t>Salary vs. employee rating correlation</t>
  </si>
  <si>
    <t>Row Labels</t>
  </si>
  <si>
    <t>so by looking at the analysis the salary is not much effected by the ratings</t>
  </si>
  <si>
    <t>Rating as number</t>
  </si>
  <si>
    <t xml:space="preserve">vlookup=VLOOKUP("Value_to_lookup", A1:B5, 2, FALSE)
</t>
  </si>
  <si>
    <t>rating</t>
  </si>
  <si>
    <t>value</t>
  </si>
  <si>
    <t>qa</t>
  </si>
  <si>
    <t>EMPLOYEE TREND OVER TIME</t>
  </si>
  <si>
    <t>2020</t>
  </si>
  <si>
    <t>May</t>
  </si>
  <si>
    <t>Jun</t>
  </si>
  <si>
    <t>Jul</t>
  </si>
  <si>
    <t>Aug</t>
  </si>
  <si>
    <t>Sep</t>
  </si>
  <si>
    <t>Oct</t>
  </si>
  <si>
    <t>Nov</t>
  </si>
  <si>
    <t>Dec</t>
  </si>
  <si>
    <t>2021</t>
  </si>
  <si>
    <t>Jan</t>
  </si>
  <si>
    <t>Feb</t>
  </si>
  <si>
    <t>Mar</t>
  </si>
  <si>
    <t>Apr</t>
  </si>
  <si>
    <t>2022</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</si>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</sst>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167" formatCode="0.0"/>
    <numFmt numFmtId="169" formatCode="&quot;₹&quot;\ #,##0.00"/>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4"/>
      <color theme="1"/>
      <name val="Calibri"/>
      <family val="2"/>
      <scheme val="minor"/>
    </font>
    <font>
      <sz val="11"/>
      <color theme="1"/>
      <name val="Arial Black"/>
      <family val="2"/>
    </font>
    <font>
      <sz val="8"/>
      <color theme="1"/>
      <name val="Arial Black"/>
      <family val="2"/>
    </font>
    <font>
      <sz val="10"/>
      <color theme="1"/>
      <name val="Calibri"/>
      <family val="2"/>
      <scheme val="minor"/>
    </font>
    <font>
      <sz val="8"/>
      <color theme="1"/>
      <name val="Calibri"/>
      <family val="2"/>
      <scheme val="minor"/>
    </font>
    <font>
      <sz val="24"/>
      <color theme="1"/>
      <name val="Calibri"/>
      <family val="2"/>
      <scheme val="minor"/>
    </font>
    <font>
      <sz val="26"/>
      <color theme="1"/>
      <name val="Calibri"/>
      <family val="2"/>
      <scheme val="minor"/>
    </font>
    <font>
      <sz val="28"/>
      <color theme="1"/>
      <name val="Calibri"/>
      <family val="2"/>
      <scheme val="minor"/>
    </font>
  </fonts>
  <fills count="5">
    <fill>
      <patternFill patternType="none"/>
    </fill>
    <fill>
      <patternFill patternType="gray125"/>
    </fill>
    <fill>
      <patternFill patternType="solid">
        <fgColor theme="9" tint="0.79998168889431442"/>
        <bgColor theme="9" tint="0.79998168889431442"/>
      </patternFill>
    </fill>
    <fill>
      <patternFill patternType="solid">
        <fgColor rgb="FFFFFF00"/>
        <bgColor indexed="64"/>
      </patternFill>
    </fill>
    <fill>
      <patternFill patternType="solid">
        <fgColor theme="2" tint="-9.9978637043366805E-2"/>
        <bgColor indexed="64"/>
      </patternFill>
    </fill>
  </fills>
  <borders count="2">
    <border>
      <left/>
      <right/>
      <top/>
      <bottom/>
      <diagonal/>
    </border>
    <border>
      <left style="thin">
        <color theme="9" tint="0.39997558519241921"/>
      </left>
      <right/>
      <top style="thin">
        <color theme="9" tint="0.39997558519241921"/>
      </top>
      <bottom style="thin">
        <color theme="9" tint="0.39997558519241921"/>
      </bottom>
      <diagonal/>
    </border>
  </borders>
  <cellStyleXfs count="2">
    <xf numFmtId="0" fontId="0" fillId="0" borderId="0"/>
    <xf numFmtId="9" fontId="1" fillId="0" borderId="0" applyFont="0" applyFill="0" applyBorder="0" applyAlignment="0" applyProtection="0"/>
  </cellStyleXfs>
  <cellXfs count="36">
    <xf numFmtId="0" fontId="0" fillId="0" borderId="0" xfId="0"/>
    <xf numFmtId="0" fontId="0" fillId="0" borderId="0" xfId="0" applyAlignment="1">
      <alignment wrapText="1"/>
    </xf>
    <xf numFmtId="15" fontId="0" fillId="0" borderId="0" xfId="0" applyNumberFormat="1" applyAlignment="1">
      <alignment wrapText="1"/>
    </xf>
    <xf numFmtId="14" fontId="0" fillId="0" borderId="0" xfId="0" applyNumberFormat="1"/>
    <xf numFmtId="8" fontId="0" fillId="0" borderId="0" xfId="0" applyNumberFormat="1"/>
    <xf numFmtId="0" fontId="0" fillId="0" borderId="0" xfId="0" applyNumberFormat="1"/>
    <xf numFmtId="0" fontId="4" fillId="0" borderId="0" xfId="0" applyFont="1"/>
    <xf numFmtId="0" fontId="5" fillId="0" borderId="0" xfId="0" applyFont="1"/>
    <xf numFmtId="2" fontId="0" fillId="0" borderId="0" xfId="0" applyNumberFormat="1"/>
    <xf numFmtId="167" fontId="0" fillId="0" borderId="0" xfId="0" applyNumberFormat="1"/>
    <xf numFmtId="9" fontId="0" fillId="0" borderId="0" xfId="1" applyFont="1"/>
    <xf numFmtId="0" fontId="6" fillId="0" borderId="0" xfId="0" applyFont="1" applyAlignment="1">
      <alignment wrapText="1"/>
    </xf>
    <xf numFmtId="0" fontId="7" fillId="0" borderId="0" xfId="0" applyFont="1"/>
    <xf numFmtId="8" fontId="7" fillId="0" borderId="0" xfId="0" applyNumberFormat="1" applyFont="1"/>
    <xf numFmtId="167" fontId="7" fillId="0" borderId="0" xfId="0" applyNumberFormat="1" applyFont="1"/>
    <xf numFmtId="2" fontId="7" fillId="0" borderId="0" xfId="0" applyNumberFormat="1" applyFont="1"/>
    <xf numFmtId="0" fontId="6" fillId="0" borderId="0" xfId="0" applyFont="1"/>
    <xf numFmtId="0" fontId="8" fillId="0" borderId="0" xfId="0" applyFont="1"/>
    <xf numFmtId="0" fontId="2" fillId="0" borderId="0" xfId="0" applyFont="1" applyAlignment="1">
      <alignment horizontal="center" wrapText="1"/>
    </xf>
    <xf numFmtId="0" fontId="0" fillId="3" borderId="0" xfId="0" applyFill="1"/>
    <xf numFmtId="0" fontId="2" fillId="3" borderId="0" xfId="0" applyFont="1" applyFill="1" applyAlignment="1"/>
    <xf numFmtId="0" fontId="0" fillId="2" borderId="1" xfId="0" applyNumberFormat="1" applyFont="1" applyFill="1" applyBorder="1"/>
    <xf numFmtId="0" fontId="0" fillId="0" borderId="0" xfId="0" pivotButton="1"/>
    <xf numFmtId="0" fontId="0" fillId="0" borderId="0" xfId="0" applyAlignment="1">
      <alignment horizontal="left"/>
    </xf>
    <xf numFmtId="169" fontId="0" fillId="0" borderId="0" xfId="0" applyNumberFormat="1"/>
    <xf numFmtId="0" fontId="0" fillId="0" borderId="0" xfId="0" applyFill="1"/>
    <xf numFmtId="0" fontId="11" fillId="4" borderId="0" xfId="0" applyFont="1" applyFill="1"/>
    <xf numFmtId="0" fontId="0" fillId="4" borderId="0" xfId="0" applyFill="1"/>
    <xf numFmtId="0" fontId="10" fillId="4" borderId="0" xfId="0" applyFont="1" applyFill="1"/>
    <xf numFmtId="0" fontId="0" fillId="0" borderId="0" xfId="0" applyAlignment="1"/>
    <xf numFmtId="0" fontId="9" fillId="4" borderId="0" xfId="0" applyFont="1" applyFill="1"/>
    <xf numFmtId="0" fontId="0" fillId="0" borderId="0" xfId="0" applyAlignment="1">
      <alignment horizontal="left" indent="1"/>
    </xf>
    <xf numFmtId="17" fontId="0" fillId="0" borderId="0" xfId="0" applyNumberFormat="1"/>
    <xf numFmtId="0" fontId="0" fillId="0" borderId="0" xfId="0" applyBorder="1"/>
    <xf numFmtId="9" fontId="0" fillId="0" borderId="0" xfId="0" applyNumberFormat="1" applyBorder="1"/>
    <xf numFmtId="8" fontId="0" fillId="0" borderId="0" xfId="0" applyNumberFormat="1" applyBorder="1"/>
  </cellXfs>
  <cellStyles count="2">
    <cellStyle name="Normal" xfId="0" builtinId="0"/>
    <cellStyle name="Percent" xfId="1" builtinId="5"/>
  </cellStyles>
  <dxfs count="42">
    <dxf>
      <font>
        <color rgb="FF9C0006"/>
      </font>
      <fill>
        <patternFill>
          <bgColor rgb="FFFFC7CE"/>
        </patternFill>
      </fill>
    </dxf>
    <dxf>
      <font>
        <color rgb="FF9C0006"/>
      </font>
      <fill>
        <patternFill>
          <bgColor rgb="FFFFC7CE"/>
        </patternFill>
      </fill>
    </dxf>
    <dxf>
      <numFmt numFmtId="0" formatCode="General"/>
    </dxf>
    <dxf>
      <numFmt numFmtId="12" formatCode="&quot;₹&quot;\ #,##0.00;[Red]&quot;₹&quot;\ \-#,##0.00"/>
    </dxf>
    <dxf>
      <alignment horizontal="left" vertical="bottom" textRotation="0" wrapText="0" indent="0" justifyLastLine="0" shrinkToFit="0" readingOrder="0"/>
    </dxf>
    <dxf>
      <numFmt numFmtId="2" formatCode="0.00"/>
    </dxf>
    <dxf>
      <numFmt numFmtId="167" formatCode="0.0"/>
    </dxf>
    <dxf>
      <numFmt numFmtId="12" formatCode="&quot;₹&quot;\ #,##0.00;[Red]&quot;₹&quot;\ \-#,##0.00"/>
    </dxf>
    <dxf>
      <numFmt numFmtId="19" formatCode="dd/mm/yyyy"/>
    </dxf>
    <dxf>
      <numFmt numFmtId="2" formatCode="0.0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0" formatCode="dd/mmm/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2" formatCode="&quot;₹&quot;\ #,##0.00;[Red]&quot;₹&quot;\ \-#,##0.00"/>
      <alignment horizontal="general" vertical="bottom" textRotation="0" wrapText="0" indent="0" justifyLastLine="0" shrinkToFit="0" readingOrder="0"/>
    </dxf>
    <dxf>
      <numFmt numFmtId="12" formatCode="&quot;₹&quot;\ #,##0.00;[Red]&quot;₹&quot;\ \-#,##0.00"/>
    </dxf>
    <dxf>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data-Analysis and presenting.xlsx]Extra!PivotTable7</c:name>
    <c:fmtId val="7"/>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Extra!$E$11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Extra!$D$12:$D$17</c:f>
              <c:strCache>
                <c:ptCount val="5"/>
                <c:pt idx="0">
                  <c:v>Procurement</c:v>
                </c:pt>
                <c:pt idx="1">
                  <c:v>Website</c:v>
                </c:pt>
                <c:pt idx="2">
                  <c:v>Finance</c:v>
                </c:pt>
                <c:pt idx="3">
                  <c:v>Sales</c:v>
                </c:pt>
                <c:pt idx="4">
                  <c:v>HR</c:v>
                </c:pt>
              </c:strCache>
            </c:strRef>
          </c:cat>
          <c:val>
            <c:numRef>
              <c:f>Extra!$E$12:$E$17</c:f>
              <c:numCache>
                <c:formatCode>General</c:formatCode>
                <c:ptCount val="5"/>
                <c:pt idx="0">
                  <c:v>28</c:v>
                </c:pt>
                <c:pt idx="1">
                  <c:v>27</c:v>
                </c:pt>
                <c:pt idx="2">
                  <c:v>19</c:v>
                </c:pt>
                <c:pt idx="3">
                  <c:v>14</c:v>
                </c:pt>
                <c:pt idx="4">
                  <c:v>4</c:v>
                </c:pt>
              </c:numCache>
            </c:numRef>
          </c:val>
          <c:extLst>
            <c:ext xmlns:c16="http://schemas.microsoft.com/office/drawing/2014/chart" uri="{C3380CC4-5D6E-409C-BE32-E72D297353CC}">
              <c16:uniqueId val="{00000000-8429-413F-A493-4BA0C7FDD8CB}"/>
            </c:ext>
          </c:extLst>
        </c:ser>
        <c:dLbls>
          <c:showLegendKey val="0"/>
          <c:showVal val="0"/>
          <c:showCatName val="0"/>
          <c:showSerName val="0"/>
          <c:showPercent val="0"/>
          <c:showBubbleSize val="0"/>
        </c:dLbls>
        <c:gapWidth val="25"/>
        <c:axId val="1071044688"/>
        <c:axId val="1071023088"/>
      </c:barChart>
      <c:catAx>
        <c:axId val="10710446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023088"/>
        <c:crosses val="autoZero"/>
        <c:auto val="1"/>
        <c:lblAlgn val="ctr"/>
        <c:lblOffset val="100"/>
        <c:noMultiLvlLbl val="0"/>
      </c:catAx>
      <c:valAx>
        <c:axId val="107102308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04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data-Analysis and presenting.xlsx]Extra!PivotTable6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Extra!$B$11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Extra!$A$12:$A$17</c:f>
              <c:strCache>
                <c:ptCount val="5"/>
                <c:pt idx="0">
                  <c:v>Procurement</c:v>
                </c:pt>
                <c:pt idx="1">
                  <c:v>Website</c:v>
                </c:pt>
                <c:pt idx="2">
                  <c:v>Finance</c:v>
                </c:pt>
                <c:pt idx="3">
                  <c:v>Sales</c:v>
                </c:pt>
                <c:pt idx="4">
                  <c:v>HR</c:v>
                </c:pt>
              </c:strCache>
            </c:strRef>
          </c:cat>
          <c:val>
            <c:numRef>
              <c:f>Extra!$B$12:$B$17</c:f>
              <c:numCache>
                <c:formatCode>General</c:formatCode>
                <c:ptCount val="5"/>
                <c:pt idx="0">
                  <c:v>27</c:v>
                </c:pt>
                <c:pt idx="1">
                  <c:v>25</c:v>
                </c:pt>
                <c:pt idx="2">
                  <c:v>17</c:v>
                </c:pt>
                <c:pt idx="3">
                  <c:v>14</c:v>
                </c:pt>
                <c:pt idx="4">
                  <c:v>4</c:v>
                </c:pt>
              </c:numCache>
            </c:numRef>
          </c:val>
          <c:extLst>
            <c:ext xmlns:c16="http://schemas.microsoft.com/office/drawing/2014/chart" uri="{C3380CC4-5D6E-409C-BE32-E72D297353CC}">
              <c16:uniqueId val="{00000000-55A8-4F53-8242-5AD85D4568DB}"/>
            </c:ext>
          </c:extLst>
        </c:ser>
        <c:dLbls>
          <c:dLblPos val="outEnd"/>
          <c:showLegendKey val="0"/>
          <c:showVal val="1"/>
          <c:showCatName val="0"/>
          <c:showSerName val="0"/>
          <c:showPercent val="0"/>
          <c:showBubbleSize val="0"/>
        </c:dLbls>
        <c:gapWidth val="25"/>
        <c:axId val="299117151"/>
        <c:axId val="299118591"/>
      </c:barChart>
      <c:catAx>
        <c:axId val="2991171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118591"/>
        <c:crosses val="autoZero"/>
        <c:auto val="1"/>
        <c:lblAlgn val="ctr"/>
        <c:lblOffset val="100"/>
        <c:noMultiLvlLbl val="0"/>
      </c:catAx>
      <c:valAx>
        <c:axId val="29911859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117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vs employee rating scatter 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'All staff'!$K$1</c:f>
              <c:strCache>
                <c:ptCount val="1"/>
                <c:pt idx="0">
                  <c:v>Rating as number</c:v>
                </c:pt>
              </c:strCache>
            </c:strRef>
          </c:tx>
          <c:spPr>
            <a:ln w="25400" cap="rnd">
              <a:noFill/>
              <a:round/>
            </a:ln>
            <a:effectLst/>
          </c:spPr>
          <c:marker>
            <c:symbol val="circle"/>
            <c:size val="5"/>
            <c:spPr>
              <a:solidFill>
                <a:schemeClr val="accent1"/>
              </a:solidFill>
              <a:ln w="9525">
                <a:solidFill>
                  <a:schemeClr val="accent1"/>
                </a:solidFill>
              </a:ln>
              <a:effectLst/>
            </c:spPr>
          </c:marker>
          <c:xVal>
            <c:numRef>
              <c:f>'All staff'!$F$2:$F$180</c:f>
              <c:numCache>
                <c:formatCode>"₹"#,##0.00_);[Red]\("₹"#,##0.00\)</c:formatCode>
                <c:ptCount val="179"/>
                <c:pt idx="0">
                  <c:v>112780</c:v>
                </c:pt>
                <c:pt idx="1">
                  <c:v>70610</c:v>
                </c:pt>
                <c:pt idx="2">
                  <c:v>53240</c:v>
                </c:pt>
                <c:pt idx="3">
                  <c:v>53540</c:v>
                </c:pt>
                <c:pt idx="4">
                  <c:v>112570</c:v>
                </c:pt>
                <c:pt idx="5">
                  <c:v>48530</c:v>
                </c:pt>
                <c:pt idx="6">
                  <c:v>62780</c:v>
                </c:pt>
                <c:pt idx="7">
                  <c:v>53870</c:v>
                </c:pt>
                <c:pt idx="8">
                  <c:v>119110</c:v>
                </c:pt>
                <c:pt idx="9">
                  <c:v>112110</c:v>
                </c:pt>
                <c:pt idx="10">
                  <c:v>65700</c:v>
                </c:pt>
                <c:pt idx="11">
                  <c:v>69070</c:v>
                </c:pt>
                <c:pt idx="12">
                  <c:v>107700</c:v>
                </c:pt>
                <c:pt idx="13">
                  <c:v>43840</c:v>
                </c:pt>
                <c:pt idx="14">
                  <c:v>99750</c:v>
                </c:pt>
                <c:pt idx="15">
                  <c:v>37920</c:v>
                </c:pt>
                <c:pt idx="16">
                  <c:v>57090</c:v>
                </c:pt>
                <c:pt idx="17">
                  <c:v>41980</c:v>
                </c:pt>
                <c:pt idx="18">
                  <c:v>75880</c:v>
                </c:pt>
                <c:pt idx="19">
                  <c:v>58940</c:v>
                </c:pt>
                <c:pt idx="20">
                  <c:v>67910</c:v>
                </c:pt>
                <c:pt idx="21">
                  <c:v>58100</c:v>
                </c:pt>
                <c:pt idx="22">
                  <c:v>48980</c:v>
                </c:pt>
                <c:pt idx="23">
                  <c:v>75000</c:v>
                </c:pt>
                <c:pt idx="24">
                  <c:v>87620</c:v>
                </c:pt>
                <c:pt idx="25">
                  <c:v>34980</c:v>
                </c:pt>
                <c:pt idx="26">
                  <c:v>75970</c:v>
                </c:pt>
                <c:pt idx="27">
                  <c:v>60130</c:v>
                </c:pt>
                <c:pt idx="28">
                  <c:v>75480</c:v>
                </c:pt>
                <c:pt idx="29">
                  <c:v>115920</c:v>
                </c:pt>
                <c:pt idx="30">
                  <c:v>78540</c:v>
                </c:pt>
                <c:pt idx="31">
                  <c:v>109190</c:v>
                </c:pt>
                <c:pt idx="32">
                  <c:v>49630</c:v>
                </c:pt>
                <c:pt idx="33">
                  <c:v>99970</c:v>
                </c:pt>
                <c:pt idx="34">
                  <c:v>96140</c:v>
                </c:pt>
                <c:pt idx="35">
                  <c:v>103550</c:v>
                </c:pt>
                <c:pt idx="36">
                  <c:v>48950</c:v>
                </c:pt>
                <c:pt idx="37">
                  <c:v>52610</c:v>
                </c:pt>
                <c:pt idx="38">
                  <c:v>78390</c:v>
                </c:pt>
                <c:pt idx="39">
                  <c:v>86570</c:v>
                </c:pt>
                <c:pt idx="40">
                  <c:v>83750</c:v>
                </c:pt>
                <c:pt idx="41">
                  <c:v>92450</c:v>
                </c:pt>
                <c:pt idx="42">
                  <c:v>112650</c:v>
                </c:pt>
                <c:pt idx="43">
                  <c:v>79570</c:v>
                </c:pt>
                <c:pt idx="44">
                  <c:v>68900</c:v>
                </c:pt>
                <c:pt idx="45">
                  <c:v>80700</c:v>
                </c:pt>
                <c:pt idx="46">
                  <c:v>58960</c:v>
                </c:pt>
                <c:pt idx="47">
                  <c:v>118840</c:v>
                </c:pt>
                <c:pt idx="48">
                  <c:v>48170</c:v>
                </c:pt>
                <c:pt idx="49">
                  <c:v>45510</c:v>
                </c:pt>
                <c:pt idx="50">
                  <c:v>114890</c:v>
                </c:pt>
                <c:pt idx="51">
                  <c:v>69710</c:v>
                </c:pt>
                <c:pt idx="52">
                  <c:v>71380</c:v>
                </c:pt>
                <c:pt idx="53">
                  <c:v>109160</c:v>
                </c:pt>
                <c:pt idx="54">
                  <c:v>113280</c:v>
                </c:pt>
                <c:pt idx="55">
                  <c:v>69120</c:v>
                </c:pt>
                <c:pt idx="56">
                  <c:v>118100</c:v>
                </c:pt>
                <c:pt idx="57">
                  <c:v>76900</c:v>
                </c:pt>
                <c:pt idx="58">
                  <c:v>114870</c:v>
                </c:pt>
                <c:pt idx="59">
                  <c:v>104770</c:v>
                </c:pt>
                <c:pt idx="60">
                  <c:v>54970</c:v>
                </c:pt>
                <c:pt idx="61">
                  <c:v>56870</c:v>
                </c:pt>
                <c:pt idx="62">
                  <c:v>92700</c:v>
                </c:pt>
                <c:pt idx="63">
                  <c:v>65920</c:v>
                </c:pt>
                <c:pt idx="64">
                  <c:v>47360</c:v>
                </c:pt>
                <c:pt idx="65">
                  <c:v>60570</c:v>
                </c:pt>
                <c:pt idx="66">
                  <c:v>104120</c:v>
                </c:pt>
                <c:pt idx="67">
                  <c:v>88050</c:v>
                </c:pt>
                <c:pt idx="68">
                  <c:v>100420</c:v>
                </c:pt>
                <c:pt idx="69">
                  <c:v>114180</c:v>
                </c:pt>
                <c:pt idx="70">
                  <c:v>33920</c:v>
                </c:pt>
                <c:pt idx="71">
                  <c:v>106460</c:v>
                </c:pt>
                <c:pt idx="72">
                  <c:v>40400</c:v>
                </c:pt>
                <c:pt idx="73">
                  <c:v>91650</c:v>
                </c:pt>
                <c:pt idx="74">
                  <c:v>36040</c:v>
                </c:pt>
                <c:pt idx="75">
                  <c:v>104410</c:v>
                </c:pt>
                <c:pt idx="76">
                  <c:v>96800</c:v>
                </c:pt>
                <c:pt idx="77">
                  <c:v>85000</c:v>
                </c:pt>
                <c:pt idx="78">
                  <c:v>43510</c:v>
                </c:pt>
                <c:pt idx="79">
                  <c:v>59430</c:v>
                </c:pt>
                <c:pt idx="80">
                  <c:v>65360</c:v>
                </c:pt>
                <c:pt idx="81">
                  <c:v>41570</c:v>
                </c:pt>
                <c:pt idx="82">
                  <c:v>75280</c:v>
                </c:pt>
                <c:pt idx="83">
                  <c:v>74550</c:v>
                </c:pt>
                <c:pt idx="84">
                  <c:v>67950</c:v>
                </c:pt>
                <c:pt idx="85">
                  <c:v>70270</c:v>
                </c:pt>
                <c:pt idx="86">
                  <c:v>53540</c:v>
                </c:pt>
                <c:pt idx="87">
                  <c:v>112650</c:v>
                </c:pt>
                <c:pt idx="88">
                  <c:v>43840</c:v>
                </c:pt>
                <c:pt idx="89">
                  <c:v>103550</c:v>
                </c:pt>
                <c:pt idx="90">
                  <c:v>45510</c:v>
                </c:pt>
                <c:pt idx="91">
                  <c:v>115440</c:v>
                </c:pt>
                <c:pt idx="92">
                  <c:v>56870</c:v>
                </c:pt>
                <c:pt idx="93">
                  <c:v>92700</c:v>
                </c:pt>
                <c:pt idx="94">
                  <c:v>91310</c:v>
                </c:pt>
                <c:pt idx="95">
                  <c:v>74550</c:v>
                </c:pt>
                <c:pt idx="96">
                  <c:v>109190</c:v>
                </c:pt>
                <c:pt idx="97">
                  <c:v>104410</c:v>
                </c:pt>
                <c:pt idx="98">
                  <c:v>96800</c:v>
                </c:pt>
                <c:pt idx="99">
                  <c:v>48170</c:v>
                </c:pt>
                <c:pt idx="100">
                  <c:v>37920</c:v>
                </c:pt>
                <c:pt idx="101">
                  <c:v>112650</c:v>
                </c:pt>
                <c:pt idx="102">
                  <c:v>49630</c:v>
                </c:pt>
                <c:pt idx="103">
                  <c:v>118840</c:v>
                </c:pt>
                <c:pt idx="104">
                  <c:v>69710</c:v>
                </c:pt>
                <c:pt idx="105">
                  <c:v>79570</c:v>
                </c:pt>
                <c:pt idx="106">
                  <c:v>76900</c:v>
                </c:pt>
                <c:pt idx="107">
                  <c:v>54970</c:v>
                </c:pt>
                <c:pt idx="108">
                  <c:v>88050</c:v>
                </c:pt>
                <c:pt idx="109">
                  <c:v>36040</c:v>
                </c:pt>
                <c:pt idx="110">
                  <c:v>75000</c:v>
                </c:pt>
                <c:pt idx="111">
                  <c:v>40400</c:v>
                </c:pt>
                <c:pt idx="112">
                  <c:v>100420</c:v>
                </c:pt>
                <c:pt idx="113">
                  <c:v>58100</c:v>
                </c:pt>
                <c:pt idx="114">
                  <c:v>114870</c:v>
                </c:pt>
                <c:pt idx="115">
                  <c:v>41570</c:v>
                </c:pt>
                <c:pt idx="116">
                  <c:v>112570</c:v>
                </c:pt>
                <c:pt idx="117">
                  <c:v>47360</c:v>
                </c:pt>
                <c:pt idx="118">
                  <c:v>65920</c:v>
                </c:pt>
                <c:pt idx="119">
                  <c:v>99970</c:v>
                </c:pt>
                <c:pt idx="120">
                  <c:v>80700</c:v>
                </c:pt>
                <c:pt idx="121">
                  <c:v>52610</c:v>
                </c:pt>
                <c:pt idx="122">
                  <c:v>112110</c:v>
                </c:pt>
                <c:pt idx="123">
                  <c:v>119110</c:v>
                </c:pt>
                <c:pt idx="124">
                  <c:v>112780</c:v>
                </c:pt>
                <c:pt idx="125">
                  <c:v>114890</c:v>
                </c:pt>
                <c:pt idx="126">
                  <c:v>48980</c:v>
                </c:pt>
                <c:pt idx="127">
                  <c:v>75880</c:v>
                </c:pt>
                <c:pt idx="128">
                  <c:v>53240</c:v>
                </c:pt>
                <c:pt idx="129">
                  <c:v>85000</c:v>
                </c:pt>
                <c:pt idx="130">
                  <c:v>33920</c:v>
                </c:pt>
                <c:pt idx="131">
                  <c:v>75280</c:v>
                </c:pt>
                <c:pt idx="132">
                  <c:v>58940</c:v>
                </c:pt>
                <c:pt idx="133">
                  <c:v>104770</c:v>
                </c:pt>
                <c:pt idx="134">
                  <c:v>57090</c:v>
                </c:pt>
                <c:pt idx="135">
                  <c:v>91650</c:v>
                </c:pt>
                <c:pt idx="136">
                  <c:v>70270</c:v>
                </c:pt>
                <c:pt idx="137">
                  <c:v>75970</c:v>
                </c:pt>
                <c:pt idx="138">
                  <c:v>90700</c:v>
                </c:pt>
                <c:pt idx="139">
                  <c:v>60570</c:v>
                </c:pt>
                <c:pt idx="140">
                  <c:v>115920</c:v>
                </c:pt>
                <c:pt idx="141">
                  <c:v>65360</c:v>
                </c:pt>
                <c:pt idx="142">
                  <c:v>64000</c:v>
                </c:pt>
                <c:pt idx="143">
                  <c:v>92450</c:v>
                </c:pt>
                <c:pt idx="144">
                  <c:v>48950</c:v>
                </c:pt>
                <c:pt idx="145">
                  <c:v>83750</c:v>
                </c:pt>
                <c:pt idx="146">
                  <c:v>87620</c:v>
                </c:pt>
                <c:pt idx="147">
                  <c:v>68900</c:v>
                </c:pt>
                <c:pt idx="148">
                  <c:v>53540</c:v>
                </c:pt>
                <c:pt idx="149">
                  <c:v>43510</c:v>
                </c:pt>
                <c:pt idx="150">
                  <c:v>109160</c:v>
                </c:pt>
                <c:pt idx="151">
                  <c:v>99750</c:v>
                </c:pt>
                <c:pt idx="152">
                  <c:v>41980</c:v>
                </c:pt>
                <c:pt idx="153">
                  <c:v>71380</c:v>
                </c:pt>
                <c:pt idx="154">
                  <c:v>113280</c:v>
                </c:pt>
                <c:pt idx="155">
                  <c:v>86570</c:v>
                </c:pt>
                <c:pt idx="156">
                  <c:v>53540</c:v>
                </c:pt>
                <c:pt idx="157">
                  <c:v>69070</c:v>
                </c:pt>
                <c:pt idx="158">
                  <c:v>67910</c:v>
                </c:pt>
                <c:pt idx="159">
                  <c:v>69120</c:v>
                </c:pt>
                <c:pt idx="160">
                  <c:v>60130</c:v>
                </c:pt>
                <c:pt idx="161">
                  <c:v>106460</c:v>
                </c:pt>
                <c:pt idx="162">
                  <c:v>118100</c:v>
                </c:pt>
                <c:pt idx="163">
                  <c:v>78390</c:v>
                </c:pt>
                <c:pt idx="164">
                  <c:v>114180</c:v>
                </c:pt>
                <c:pt idx="165">
                  <c:v>104120</c:v>
                </c:pt>
                <c:pt idx="166">
                  <c:v>67950</c:v>
                </c:pt>
                <c:pt idx="167">
                  <c:v>34980</c:v>
                </c:pt>
                <c:pt idx="168">
                  <c:v>62780</c:v>
                </c:pt>
                <c:pt idx="169">
                  <c:v>107700</c:v>
                </c:pt>
                <c:pt idx="170">
                  <c:v>65700</c:v>
                </c:pt>
                <c:pt idx="171">
                  <c:v>75480</c:v>
                </c:pt>
                <c:pt idx="172">
                  <c:v>53870</c:v>
                </c:pt>
                <c:pt idx="173">
                  <c:v>78540</c:v>
                </c:pt>
                <c:pt idx="174">
                  <c:v>58960</c:v>
                </c:pt>
                <c:pt idx="175">
                  <c:v>70610</c:v>
                </c:pt>
                <c:pt idx="176">
                  <c:v>59430</c:v>
                </c:pt>
                <c:pt idx="177">
                  <c:v>48530</c:v>
                </c:pt>
                <c:pt idx="178">
                  <c:v>96140</c:v>
                </c:pt>
              </c:numCache>
            </c:numRef>
          </c:xVal>
          <c:yVal>
            <c:numRef>
              <c:f>'All staff'!$K$2:$K$180</c:f>
              <c:numCache>
                <c:formatCode>General</c:formatCode>
                <c:ptCount val="179"/>
                <c:pt idx="0">
                  <c:v>4</c:v>
                </c:pt>
                <c:pt idx="1">
                  <c:v>3</c:v>
                </c:pt>
                <c:pt idx="2">
                  <c:v>3</c:v>
                </c:pt>
                <c:pt idx="3">
                  <c:v>3</c:v>
                </c:pt>
                <c:pt idx="4">
                  <c:v>3</c:v>
                </c:pt>
                <c:pt idx="5">
                  <c:v>4</c:v>
                </c:pt>
                <c:pt idx="6">
                  <c:v>3</c:v>
                </c:pt>
                <c:pt idx="7">
                  <c:v>3</c:v>
                </c:pt>
                <c:pt idx="8">
                  <c:v>3</c:v>
                </c:pt>
                <c:pt idx="9">
                  <c:v>2</c:v>
                </c:pt>
                <c:pt idx="10">
                  <c:v>3</c:v>
                </c:pt>
                <c:pt idx="11">
                  <c:v>3</c:v>
                </c:pt>
                <c:pt idx="12">
                  <c:v>3</c:v>
                </c:pt>
                <c:pt idx="13">
                  <c:v>4</c:v>
                </c:pt>
                <c:pt idx="14">
                  <c:v>3</c:v>
                </c:pt>
                <c:pt idx="15">
                  <c:v>3</c:v>
                </c:pt>
                <c:pt idx="16">
                  <c:v>3</c:v>
                </c:pt>
                <c:pt idx="17">
                  <c:v>3</c:v>
                </c:pt>
                <c:pt idx="18">
                  <c:v>3</c:v>
                </c:pt>
                <c:pt idx="19">
                  <c:v>3</c:v>
                </c:pt>
                <c:pt idx="20">
                  <c:v>2</c:v>
                </c:pt>
                <c:pt idx="21">
                  <c:v>3</c:v>
                </c:pt>
                <c:pt idx="22">
                  <c:v>3</c:v>
                </c:pt>
                <c:pt idx="23">
                  <c:v>5</c:v>
                </c:pt>
                <c:pt idx="24">
                  <c:v>3</c:v>
                </c:pt>
                <c:pt idx="25">
                  <c:v>3</c:v>
                </c:pt>
                <c:pt idx="26">
                  <c:v>3</c:v>
                </c:pt>
                <c:pt idx="27">
                  <c:v>3</c:v>
                </c:pt>
                <c:pt idx="28">
                  <c:v>1</c:v>
                </c:pt>
                <c:pt idx="29">
                  <c:v>3</c:v>
                </c:pt>
                <c:pt idx="30">
                  <c:v>3</c:v>
                </c:pt>
                <c:pt idx="31">
                  <c:v>4</c:v>
                </c:pt>
                <c:pt idx="32">
                  <c:v>2</c:v>
                </c:pt>
                <c:pt idx="33">
                  <c:v>3</c:v>
                </c:pt>
                <c:pt idx="34">
                  <c:v>3</c:v>
                </c:pt>
                <c:pt idx="35">
                  <c:v>3</c:v>
                </c:pt>
                <c:pt idx="36">
                  <c:v>3</c:v>
                </c:pt>
                <c:pt idx="37">
                  <c:v>2</c:v>
                </c:pt>
                <c:pt idx="38">
                  <c:v>3</c:v>
                </c:pt>
                <c:pt idx="39">
                  <c:v>3</c:v>
                </c:pt>
                <c:pt idx="40">
                  <c:v>3</c:v>
                </c:pt>
                <c:pt idx="41">
                  <c:v>3</c:v>
                </c:pt>
                <c:pt idx="42">
                  <c:v>3</c:v>
                </c:pt>
                <c:pt idx="43">
                  <c:v>3</c:v>
                </c:pt>
                <c:pt idx="44">
                  <c:v>2</c:v>
                </c:pt>
                <c:pt idx="45">
                  <c:v>4</c:v>
                </c:pt>
                <c:pt idx="46">
                  <c:v>3</c:v>
                </c:pt>
                <c:pt idx="47">
                  <c:v>3</c:v>
                </c:pt>
                <c:pt idx="48">
                  <c:v>4</c:v>
                </c:pt>
                <c:pt idx="49">
                  <c:v>3</c:v>
                </c:pt>
                <c:pt idx="50">
                  <c:v>3</c:v>
                </c:pt>
                <c:pt idx="51">
                  <c:v>3</c:v>
                </c:pt>
                <c:pt idx="52">
                  <c:v>3</c:v>
                </c:pt>
                <c:pt idx="53">
                  <c:v>5</c:v>
                </c:pt>
                <c:pt idx="54">
                  <c:v>1</c:v>
                </c:pt>
                <c:pt idx="55">
                  <c:v>3</c:v>
                </c:pt>
                <c:pt idx="56">
                  <c:v>3</c:v>
                </c:pt>
                <c:pt idx="57">
                  <c:v>4</c:v>
                </c:pt>
                <c:pt idx="58">
                  <c:v>3</c:v>
                </c:pt>
                <c:pt idx="59">
                  <c:v>3</c:v>
                </c:pt>
                <c:pt idx="60">
                  <c:v>3</c:v>
                </c:pt>
                <c:pt idx="61">
                  <c:v>4</c:v>
                </c:pt>
                <c:pt idx="62">
                  <c:v>3</c:v>
                </c:pt>
                <c:pt idx="63">
                  <c:v>3</c:v>
                </c:pt>
                <c:pt idx="64">
                  <c:v>3</c:v>
                </c:pt>
                <c:pt idx="65">
                  <c:v>3</c:v>
                </c:pt>
                <c:pt idx="66">
                  <c:v>3</c:v>
                </c:pt>
                <c:pt idx="67">
                  <c:v>2</c:v>
                </c:pt>
                <c:pt idx="68">
                  <c:v>3</c:v>
                </c:pt>
                <c:pt idx="69">
                  <c:v>3</c:v>
                </c:pt>
                <c:pt idx="70">
                  <c:v>3</c:v>
                </c:pt>
                <c:pt idx="71">
                  <c:v>3</c:v>
                </c:pt>
                <c:pt idx="72">
                  <c:v>3</c:v>
                </c:pt>
                <c:pt idx="73">
                  <c:v>4</c:v>
                </c:pt>
                <c:pt idx="74">
                  <c:v>3</c:v>
                </c:pt>
                <c:pt idx="75">
                  <c:v>3</c:v>
                </c:pt>
                <c:pt idx="76">
                  <c:v>3</c:v>
                </c:pt>
                <c:pt idx="77">
                  <c:v>3</c:v>
                </c:pt>
                <c:pt idx="78">
                  <c:v>1</c:v>
                </c:pt>
                <c:pt idx="79">
                  <c:v>3</c:v>
                </c:pt>
                <c:pt idx="80">
                  <c:v>3</c:v>
                </c:pt>
                <c:pt idx="81">
                  <c:v>3</c:v>
                </c:pt>
                <c:pt idx="82">
                  <c:v>3</c:v>
                </c:pt>
                <c:pt idx="83">
                  <c:v>3</c:v>
                </c:pt>
                <c:pt idx="84">
                  <c:v>3</c:v>
                </c:pt>
                <c:pt idx="85">
                  <c:v>2</c:v>
                </c:pt>
                <c:pt idx="86">
                  <c:v>3</c:v>
                </c:pt>
                <c:pt idx="87">
                  <c:v>3</c:v>
                </c:pt>
                <c:pt idx="88">
                  <c:v>4</c:v>
                </c:pt>
                <c:pt idx="89">
                  <c:v>3</c:v>
                </c:pt>
                <c:pt idx="90">
                  <c:v>3</c:v>
                </c:pt>
                <c:pt idx="91">
                  <c:v>2</c:v>
                </c:pt>
                <c:pt idx="92">
                  <c:v>4</c:v>
                </c:pt>
                <c:pt idx="93">
                  <c:v>3</c:v>
                </c:pt>
                <c:pt idx="94">
                  <c:v>3</c:v>
                </c:pt>
                <c:pt idx="95">
                  <c:v>3</c:v>
                </c:pt>
                <c:pt idx="96">
                  <c:v>4</c:v>
                </c:pt>
                <c:pt idx="97">
                  <c:v>3</c:v>
                </c:pt>
                <c:pt idx="98">
                  <c:v>3</c:v>
                </c:pt>
                <c:pt idx="99">
                  <c:v>4</c:v>
                </c:pt>
                <c:pt idx="100">
                  <c:v>3</c:v>
                </c:pt>
                <c:pt idx="101">
                  <c:v>3</c:v>
                </c:pt>
                <c:pt idx="102">
                  <c:v>2</c:v>
                </c:pt>
                <c:pt idx="103">
                  <c:v>3</c:v>
                </c:pt>
                <c:pt idx="104">
                  <c:v>3</c:v>
                </c:pt>
                <c:pt idx="105">
                  <c:v>3</c:v>
                </c:pt>
                <c:pt idx="106">
                  <c:v>4</c:v>
                </c:pt>
                <c:pt idx="107">
                  <c:v>3</c:v>
                </c:pt>
                <c:pt idx="108">
                  <c:v>2</c:v>
                </c:pt>
                <c:pt idx="109">
                  <c:v>3</c:v>
                </c:pt>
                <c:pt idx="110">
                  <c:v>5</c:v>
                </c:pt>
                <c:pt idx="111">
                  <c:v>3</c:v>
                </c:pt>
                <c:pt idx="112">
                  <c:v>3</c:v>
                </c:pt>
                <c:pt idx="113">
                  <c:v>3</c:v>
                </c:pt>
                <c:pt idx="114">
                  <c:v>3</c:v>
                </c:pt>
                <c:pt idx="115">
                  <c:v>3</c:v>
                </c:pt>
                <c:pt idx="116">
                  <c:v>3</c:v>
                </c:pt>
                <c:pt idx="117">
                  <c:v>3</c:v>
                </c:pt>
                <c:pt idx="118">
                  <c:v>3</c:v>
                </c:pt>
                <c:pt idx="119">
                  <c:v>3</c:v>
                </c:pt>
                <c:pt idx="120">
                  <c:v>4</c:v>
                </c:pt>
                <c:pt idx="121">
                  <c:v>2</c:v>
                </c:pt>
                <c:pt idx="122">
                  <c:v>2</c:v>
                </c:pt>
                <c:pt idx="123">
                  <c:v>3</c:v>
                </c:pt>
                <c:pt idx="124">
                  <c:v>4</c:v>
                </c:pt>
                <c:pt idx="125">
                  <c:v>3</c:v>
                </c:pt>
                <c:pt idx="126">
                  <c:v>3</c:v>
                </c:pt>
                <c:pt idx="127">
                  <c:v>3</c:v>
                </c:pt>
                <c:pt idx="128">
                  <c:v>3</c:v>
                </c:pt>
                <c:pt idx="129">
                  <c:v>3</c:v>
                </c:pt>
                <c:pt idx="130">
                  <c:v>3</c:v>
                </c:pt>
                <c:pt idx="131">
                  <c:v>3</c:v>
                </c:pt>
                <c:pt idx="132">
                  <c:v>3</c:v>
                </c:pt>
                <c:pt idx="133">
                  <c:v>3</c:v>
                </c:pt>
                <c:pt idx="134">
                  <c:v>3</c:v>
                </c:pt>
                <c:pt idx="135">
                  <c:v>4</c:v>
                </c:pt>
                <c:pt idx="136">
                  <c:v>2</c:v>
                </c:pt>
                <c:pt idx="137">
                  <c:v>3</c:v>
                </c:pt>
                <c:pt idx="138">
                  <c:v>4</c:v>
                </c:pt>
                <c:pt idx="139">
                  <c:v>3</c:v>
                </c:pt>
                <c:pt idx="140">
                  <c:v>3</c:v>
                </c:pt>
                <c:pt idx="141">
                  <c:v>3</c:v>
                </c:pt>
                <c:pt idx="142">
                  <c:v>3</c:v>
                </c:pt>
                <c:pt idx="143">
                  <c:v>3</c:v>
                </c:pt>
                <c:pt idx="144">
                  <c:v>3</c:v>
                </c:pt>
                <c:pt idx="145">
                  <c:v>3</c:v>
                </c:pt>
                <c:pt idx="146">
                  <c:v>3</c:v>
                </c:pt>
                <c:pt idx="147">
                  <c:v>2</c:v>
                </c:pt>
                <c:pt idx="148">
                  <c:v>3</c:v>
                </c:pt>
                <c:pt idx="149">
                  <c:v>1</c:v>
                </c:pt>
                <c:pt idx="150">
                  <c:v>5</c:v>
                </c:pt>
                <c:pt idx="151">
                  <c:v>3</c:v>
                </c:pt>
                <c:pt idx="152">
                  <c:v>3</c:v>
                </c:pt>
                <c:pt idx="153">
                  <c:v>3</c:v>
                </c:pt>
                <c:pt idx="154">
                  <c:v>1</c:v>
                </c:pt>
                <c:pt idx="155">
                  <c:v>3</c:v>
                </c:pt>
                <c:pt idx="156">
                  <c:v>3</c:v>
                </c:pt>
                <c:pt idx="157">
                  <c:v>3</c:v>
                </c:pt>
                <c:pt idx="158">
                  <c:v>2</c:v>
                </c:pt>
                <c:pt idx="159">
                  <c:v>3</c:v>
                </c:pt>
                <c:pt idx="160">
                  <c:v>3</c:v>
                </c:pt>
                <c:pt idx="161">
                  <c:v>3</c:v>
                </c:pt>
                <c:pt idx="162">
                  <c:v>3</c:v>
                </c:pt>
                <c:pt idx="163">
                  <c:v>3</c:v>
                </c:pt>
                <c:pt idx="164">
                  <c:v>3</c:v>
                </c:pt>
                <c:pt idx="165">
                  <c:v>3</c:v>
                </c:pt>
                <c:pt idx="166">
                  <c:v>3</c:v>
                </c:pt>
                <c:pt idx="167">
                  <c:v>3</c:v>
                </c:pt>
                <c:pt idx="168">
                  <c:v>3</c:v>
                </c:pt>
                <c:pt idx="169">
                  <c:v>3</c:v>
                </c:pt>
                <c:pt idx="170">
                  <c:v>3</c:v>
                </c:pt>
                <c:pt idx="171">
                  <c:v>1</c:v>
                </c:pt>
                <c:pt idx="172">
                  <c:v>3</c:v>
                </c:pt>
                <c:pt idx="173">
                  <c:v>3</c:v>
                </c:pt>
                <c:pt idx="174">
                  <c:v>3</c:v>
                </c:pt>
                <c:pt idx="175">
                  <c:v>3</c:v>
                </c:pt>
                <c:pt idx="176">
                  <c:v>3</c:v>
                </c:pt>
                <c:pt idx="177">
                  <c:v>4</c:v>
                </c:pt>
                <c:pt idx="178">
                  <c:v>3</c:v>
                </c:pt>
              </c:numCache>
            </c:numRef>
          </c:yVal>
          <c:smooth val="0"/>
          <c:extLst>
            <c:ext xmlns:c16="http://schemas.microsoft.com/office/drawing/2014/chart" uri="{C3380CC4-5D6E-409C-BE32-E72D297353CC}">
              <c16:uniqueId val="{00000000-F9C0-4C2A-B9B5-3D5FEFB94AAD}"/>
            </c:ext>
          </c:extLst>
        </c:ser>
        <c:dLbls>
          <c:showLegendKey val="0"/>
          <c:showVal val="0"/>
          <c:showCatName val="0"/>
          <c:showSerName val="0"/>
          <c:showPercent val="0"/>
          <c:showBubbleSize val="0"/>
        </c:dLbls>
        <c:axId val="151918031"/>
        <c:axId val="151918511"/>
      </c:scatterChart>
      <c:valAx>
        <c:axId val="1519180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18511"/>
        <c:crosses val="autoZero"/>
        <c:crossBetween val="midCat"/>
      </c:valAx>
      <c:valAx>
        <c:axId val="151918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1803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data-Analysis and presenting.xlsx]Employee Trend over time!PivotTable5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'Employee Trend over time'!$B$4</c:f>
              <c:strCache>
                <c:ptCount val="1"/>
                <c:pt idx="0">
                  <c:v>Total</c:v>
                </c:pt>
              </c:strCache>
            </c:strRef>
          </c:tx>
          <c:spPr>
            <a:ln w="28575" cap="rnd">
              <a:solidFill>
                <a:schemeClr val="accent1"/>
              </a:solidFill>
              <a:round/>
            </a:ln>
            <a:effectLst/>
          </c:spPr>
          <c:marker>
            <c:symbol val="none"/>
          </c:marker>
          <c:cat>
            <c:multiLvlStrRef>
              <c:f>'Employee Trend over time'!$A$5:$A$41</c:f>
              <c:multiLvlStrCache>
                <c:ptCount val="32"/>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pt idx="22">
                    <c:v>Mar</c:v>
                  </c:pt>
                  <c:pt idx="23">
                    <c:v>Apr</c:v>
                  </c:pt>
                  <c:pt idx="24">
                    <c:v>May</c:v>
                  </c:pt>
                  <c:pt idx="25">
                    <c:v>Jun</c:v>
                  </c:pt>
                  <c:pt idx="26">
                    <c:v>Jul</c:v>
                  </c:pt>
                  <c:pt idx="27">
                    <c:v>Aug</c:v>
                  </c:pt>
                  <c:pt idx="28">
                    <c:v>Sep</c:v>
                  </c:pt>
                  <c:pt idx="29">
                    <c:v>Oct</c:v>
                  </c:pt>
                  <c:pt idx="30">
                    <c:v>Feb</c:v>
                  </c:pt>
                  <c:pt idx="31">
                    <c:v>Apr</c:v>
                  </c:pt>
                </c:lvl>
                <c:lvl>
                  <c:pt idx="0">
                    <c:v>2020</c:v>
                  </c:pt>
                  <c:pt idx="8">
                    <c:v>2021</c:v>
                  </c:pt>
                  <c:pt idx="20">
                    <c:v>2022</c:v>
                  </c:pt>
                  <c:pt idx="30">
                    <c:v>2023</c:v>
                  </c:pt>
                </c:lvl>
              </c:multiLvlStrCache>
            </c:multiLvlStrRef>
          </c:cat>
          <c:val>
            <c:numRef>
              <c:f>'Employee Trend over time'!$B$5:$B$41</c:f>
              <c:numCache>
                <c:formatCode>General</c:formatCode>
                <c:ptCount val="32"/>
                <c:pt idx="0">
                  <c:v>3</c:v>
                </c:pt>
                <c:pt idx="1">
                  <c:v>4</c:v>
                </c:pt>
                <c:pt idx="2">
                  <c:v>9</c:v>
                </c:pt>
                <c:pt idx="3">
                  <c:v>12</c:v>
                </c:pt>
                <c:pt idx="4">
                  <c:v>18</c:v>
                </c:pt>
                <c:pt idx="5">
                  <c:v>24</c:v>
                </c:pt>
                <c:pt idx="6">
                  <c:v>29</c:v>
                </c:pt>
                <c:pt idx="7">
                  <c:v>36</c:v>
                </c:pt>
                <c:pt idx="8">
                  <c:v>6</c:v>
                </c:pt>
                <c:pt idx="9">
                  <c:v>10</c:v>
                </c:pt>
                <c:pt idx="10">
                  <c:v>18</c:v>
                </c:pt>
                <c:pt idx="11">
                  <c:v>23</c:v>
                </c:pt>
                <c:pt idx="12">
                  <c:v>33</c:v>
                </c:pt>
                <c:pt idx="13">
                  <c:v>39</c:v>
                </c:pt>
                <c:pt idx="14">
                  <c:v>52</c:v>
                </c:pt>
                <c:pt idx="15">
                  <c:v>56</c:v>
                </c:pt>
                <c:pt idx="16">
                  <c:v>67</c:v>
                </c:pt>
                <c:pt idx="17">
                  <c:v>70</c:v>
                </c:pt>
                <c:pt idx="18">
                  <c:v>74</c:v>
                </c:pt>
                <c:pt idx="19">
                  <c:v>81</c:v>
                </c:pt>
                <c:pt idx="20">
                  <c:v>3</c:v>
                </c:pt>
                <c:pt idx="21">
                  <c:v>12</c:v>
                </c:pt>
                <c:pt idx="22">
                  <c:v>21</c:v>
                </c:pt>
                <c:pt idx="23">
                  <c:v>30</c:v>
                </c:pt>
                <c:pt idx="24">
                  <c:v>39</c:v>
                </c:pt>
                <c:pt idx="25">
                  <c:v>46</c:v>
                </c:pt>
                <c:pt idx="26">
                  <c:v>51</c:v>
                </c:pt>
                <c:pt idx="27">
                  <c:v>55</c:v>
                </c:pt>
                <c:pt idx="28">
                  <c:v>57</c:v>
                </c:pt>
                <c:pt idx="29">
                  <c:v>60</c:v>
                </c:pt>
                <c:pt idx="30">
                  <c:v>1</c:v>
                </c:pt>
                <c:pt idx="31">
                  <c:v>2</c:v>
                </c:pt>
              </c:numCache>
            </c:numRef>
          </c:val>
          <c:smooth val="0"/>
          <c:extLst>
            <c:ext xmlns:c16="http://schemas.microsoft.com/office/drawing/2014/chart" uri="{C3380CC4-5D6E-409C-BE32-E72D297353CC}">
              <c16:uniqueId val="{00000000-FB2A-4A36-A6B9-3E7B0B06C346}"/>
            </c:ext>
          </c:extLst>
        </c:ser>
        <c:dLbls>
          <c:showLegendKey val="0"/>
          <c:showVal val="0"/>
          <c:showCatName val="0"/>
          <c:showSerName val="0"/>
          <c:showPercent val="0"/>
          <c:showBubbleSize val="0"/>
        </c:dLbls>
        <c:smooth val="0"/>
        <c:axId val="347841279"/>
        <c:axId val="347842239"/>
      </c:lineChart>
      <c:catAx>
        <c:axId val="34784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842239"/>
        <c:crosses val="autoZero"/>
        <c:auto val="1"/>
        <c:lblAlgn val="ctr"/>
        <c:lblOffset val="100"/>
        <c:noMultiLvlLbl val="0"/>
      </c:catAx>
      <c:valAx>
        <c:axId val="34784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84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data-Analysis and presenting.xlsx]Extra!PivotTable6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76181102362208"/>
          <c:y val="8.4251239428404789E-2"/>
          <c:w val="0.78190485564304457"/>
          <c:h val="0.8416746864975212"/>
        </c:manualLayout>
      </c:layout>
      <c:barChart>
        <c:barDir val="bar"/>
        <c:grouping val="clustered"/>
        <c:varyColors val="0"/>
        <c:ser>
          <c:idx val="0"/>
          <c:order val="0"/>
          <c:tx>
            <c:strRef>
              <c:f>Extra!$B$11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Extra!$A$12:$A$17</c:f>
              <c:strCache>
                <c:ptCount val="5"/>
                <c:pt idx="0">
                  <c:v>Procurement</c:v>
                </c:pt>
                <c:pt idx="1">
                  <c:v>Website</c:v>
                </c:pt>
                <c:pt idx="2">
                  <c:v>Finance</c:v>
                </c:pt>
                <c:pt idx="3">
                  <c:v>Sales</c:v>
                </c:pt>
                <c:pt idx="4">
                  <c:v>HR</c:v>
                </c:pt>
              </c:strCache>
            </c:strRef>
          </c:cat>
          <c:val>
            <c:numRef>
              <c:f>Extra!$B$12:$B$17</c:f>
              <c:numCache>
                <c:formatCode>General</c:formatCode>
                <c:ptCount val="5"/>
                <c:pt idx="0">
                  <c:v>27</c:v>
                </c:pt>
                <c:pt idx="1">
                  <c:v>25</c:v>
                </c:pt>
                <c:pt idx="2">
                  <c:v>17</c:v>
                </c:pt>
                <c:pt idx="3">
                  <c:v>14</c:v>
                </c:pt>
                <c:pt idx="4">
                  <c:v>4</c:v>
                </c:pt>
              </c:numCache>
            </c:numRef>
          </c:val>
          <c:extLst>
            <c:ext xmlns:c16="http://schemas.microsoft.com/office/drawing/2014/chart" uri="{C3380CC4-5D6E-409C-BE32-E72D297353CC}">
              <c16:uniqueId val="{00000000-8922-460D-8C73-1D9876B6FC60}"/>
            </c:ext>
          </c:extLst>
        </c:ser>
        <c:dLbls>
          <c:dLblPos val="outEnd"/>
          <c:showLegendKey val="0"/>
          <c:showVal val="1"/>
          <c:showCatName val="0"/>
          <c:showSerName val="0"/>
          <c:showPercent val="0"/>
          <c:showBubbleSize val="0"/>
        </c:dLbls>
        <c:gapWidth val="25"/>
        <c:axId val="299117151"/>
        <c:axId val="299118591"/>
      </c:barChart>
      <c:catAx>
        <c:axId val="2991171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118591"/>
        <c:crosses val="autoZero"/>
        <c:auto val="1"/>
        <c:lblAlgn val="ctr"/>
        <c:lblOffset val="100"/>
        <c:noMultiLvlLbl val="0"/>
      </c:catAx>
      <c:valAx>
        <c:axId val="29911859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117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data-Analysis and presenting.xlsx]Extra!PivotTable7</c:name>
    <c:fmtId val="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Extra!$E$11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Extra!$D$12:$D$17</c:f>
              <c:strCache>
                <c:ptCount val="5"/>
                <c:pt idx="0">
                  <c:v>Procurement</c:v>
                </c:pt>
                <c:pt idx="1">
                  <c:v>Website</c:v>
                </c:pt>
                <c:pt idx="2">
                  <c:v>Finance</c:v>
                </c:pt>
                <c:pt idx="3">
                  <c:v>Sales</c:v>
                </c:pt>
                <c:pt idx="4">
                  <c:v>HR</c:v>
                </c:pt>
              </c:strCache>
            </c:strRef>
          </c:cat>
          <c:val>
            <c:numRef>
              <c:f>Extra!$E$12:$E$17</c:f>
              <c:numCache>
                <c:formatCode>General</c:formatCode>
                <c:ptCount val="5"/>
                <c:pt idx="0">
                  <c:v>28</c:v>
                </c:pt>
                <c:pt idx="1">
                  <c:v>27</c:v>
                </c:pt>
                <c:pt idx="2">
                  <c:v>19</c:v>
                </c:pt>
                <c:pt idx="3">
                  <c:v>14</c:v>
                </c:pt>
                <c:pt idx="4">
                  <c:v>4</c:v>
                </c:pt>
              </c:numCache>
            </c:numRef>
          </c:val>
          <c:extLst>
            <c:ext xmlns:c16="http://schemas.microsoft.com/office/drawing/2014/chart" uri="{C3380CC4-5D6E-409C-BE32-E72D297353CC}">
              <c16:uniqueId val="{00000000-768F-4A66-8CD2-9454BCBFEB6A}"/>
            </c:ext>
          </c:extLst>
        </c:ser>
        <c:dLbls>
          <c:showLegendKey val="0"/>
          <c:showVal val="0"/>
          <c:showCatName val="0"/>
          <c:showSerName val="0"/>
          <c:showPercent val="0"/>
          <c:showBubbleSize val="0"/>
        </c:dLbls>
        <c:gapWidth val="25"/>
        <c:axId val="1071044688"/>
        <c:axId val="1071023088"/>
      </c:barChart>
      <c:catAx>
        <c:axId val="10710446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023088"/>
        <c:crosses val="autoZero"/>
        <c:auto val="1"/>
        <c:lblAlgn val="ctr"/>
        <c:lblOffset val="100"/>
        <c:noMultiLvlLbl val="0"/>
      </c:catAx>
      <c:valAx>
        <c:axId val="107102308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04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Salary spread by 10k</cx:v>
        </cx:txData>
      </cx:tx>
      <cx:txPr>
        <a:bodyPr spcFirstLastPara="1" vertOverflow="ellipsis" horzOverflow="overflow" wrap="square" lIns="0" tIns="0" rIns="0" bIns="0" anchor="ctr" anchorCtr="1"/>
        <a:lstStyle/>
        <a:p>
          <a:pPr algn="ctr" rtl="0">
            <a:defRPr>
              <a:solidFill>
                <a:sysClr val="windowText" lastClr="000000">
                  <a:lumMod val="65000"/>
                  <a:lumOff val="35000"/>
                </a:sysClr>
              </a:solidFill>
            </a:defRPr>
          </a:pPr>
          <a:r>
            <a:rPr lang="en-US" sz="1400" b="0" i="0" u="none" strike="noStrike" baseline="0">
              <a:solidFill>
                <a:sysClr val="windowText" lastClr="000000">
                  <a:lumMod val="65000"/>
                  <a:lumOff val="35000"/>
                </a:sysClr>
              </a:solidFill>
              <a:latin typeface="Calibri" panose="020F0502020204030204"/>
            </a:rPr>
            <a:t>Salary spread by 10k</a:t>
          </a:r>
        </a:p>
      </cx:txPr>
    </cx:title>
    <cx:plotArea>
      <cx:plotAreaRegion>
        <cx:series layoutId="clusteredColumn" uniqueId="{14E5CBA2-EE50-42B3-B85B-A1B95C8CE403}">
          <cx:tx>
            <cx:txData>
              <cx:f>_xlchart.v1.0</cx:f>
              <cx:v>Salary</cx:v>
            </cx:txData>
          </cx:tx>
          <cx:dataId val="0"/>
          <cx:layoutPr>
            <cx:binning intervalClosed="r" underflow="40000">
              <cx:binSize val="10000"/>
            </cx:binning>
          </cx:layoutPr>
        </cx:series>
      </cx:plotAreaRegion>
      <cx:axis id="0">
        <cx:catScaling gapWidth="0"/>
        <cx:tickLabels/>
        <cx:txPr>
          <a:bodyPr spcFirstLastPara="1" vertOverflow="ellipsis" horzOverflow="overflow" wrap="square" lIns="0" tIns="0" rIns="0" bIns="0" anchor="ctr" anchorCtr="1"/>
          <a:lstStyle/>
          <a:p>
            <a:pPr algn="ctr" rtl="0">
              <a:defRPr>
                <a:solidFill>
                  <a:sysClr val="windowText" lastClr="000000">
                    <a:lumMod val="65000"/>
                    <a:lumOff val="35000"/>
                  </a:sysClr>
                </a:solidFill>
              </a:defRPr>
            </a:pPr>
            <a:endParaRPr lang="en-US" sz="900" b="0" i="0" u="none" strike="noStrike" baseline="0">
              <a:solidFill>
                <a:sysClr val="windowText" lastClr="000000">
                  <a:lumMod val="65000"/>
                  <a:lumOff val="35000"/>
                </a:sysClr>
              </a:solidFill>
              <a:latin typeface="Calibri" panose="020F0502020204030204"/>
            </a:endParaRPr>
          </a:p>
        </cx:txPr>
      </cx:axis>
      <cx:axis id="1">
        <cx:valScaling/>
        <cx:majorGridlines/>
        <cx:tickLabels/>
        <cx:txPr>
          <a:bodyPr vertOverflow="overflow" horzOverflow="overflow" wrap="square" lIns="0" tIns="0" rIns="0" bIns="0"/>
          <a:lstStyle/>
          <a:p>
            <a:pPr algn="ctr" rtl="0">
              <a:defRPr sz="900" b="0" i="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IN">
              <a:solidFill>
                <a:sysClr val="windowText" lastClr="000000">
                  <a:lumMod val="65000"/>
                  <a:lumOff val="35000"/>
                </a:sysClr>
              </a:solidFill>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Salary spread box plot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Salary spread box plot</a:t>
          </a:r>
        </a:p>
      </cx:txPr>
    </cx:title>
    <cx:plotArea>
      <cx:plotAreaRegion>
        <cx:series layoutId="boxWhisker" uniqueId="{D623E418-8A47-42E7-8592-15BE6F2D2214}">
          <cx:tx>
            <cx:txData>
              <cx:f>_xlchart.v1.2</cx:f>
              <cx:v>Salary</cx:v>
            </cx:txData>
          </cx:tx>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289560</xdr:colOff>
      <xdr:row>6</xdr:row>
      <xdr:rowOff>0</xdr:rowOff>
    </xdr:from>
    <xdr:to>
      <xdr:col>3</xdr:col>
      <xdr:colOff>426720</xdr:colOff>
      <xdr:row>11</xdr:row>
      <xdr:rowOff>0</xdr:rowOff>
    </xdr:to>
    <xdr:sp macro="" textlink="">
      <xdr:nvSpPr>
        <xdr:cNvPr id="2" name="Rectangle: Rounded Corners 1">
          <a:extLst>
            <a:ext uri="{FF2B5EF4-FFF2-40B4-BE49-F238E27FC236}">
              <a16:creationId xmlns:a16="http://schemas.microsoft.com/office/drawing/2014/main" id="{95EAEEFF-D818-788A-CB26-35F261671161}"/>
            </a:ext>
          </a:extLst>
        </xdr:cNvPr>
        <xdr:cNvSpPr/>
      </xdr:nvSpPr>
      <xdr:spPr>
        <a:xfrm>
          <a:off x="899160" y="1097280"/>
          <a:ext cx="135636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464820</xdr:colOff>
      <xdr:row>6</xdr:row>
      <xdr:rowOff>15240</xdr:rowOff>
    </xdr:from>
    <xdr:to>
      <xdr:col>5</xdr:col>
      <xdr:colOff>601980</xdr:colOff>
      <xdr:row>11</xdr:row>
      <xdr:rowOff>22860</xdr:rowOff>
    </xdr:to>
    <xdr:sp macro="" textlink="">
      <xdr:nvSpPr>
        <xdr:cNvPr id="5" name="Rectangle: Rounded Corners 4">
          <a:extLst>
            <a:ext uri="{FF2B5EF4-FFF2-40B4-BE49-F238E27FC236}">
              <a16:creationId xmlns:a16="http://schemas.microsoft.com/office/drawing/2014/main" id="{6ED1F1F5-78C4-478C-90A1-D528C680DEFD}"/>
            </a:ext>
          </a:extLst>
        </xdr:cNvPr>
        <xdr:cNvSpPr/>
      </xdr:nvSpPr>
      <xdr:spPr>
        <a:xfrm>
          <a:off x="2293620" y="1112520"/>
          <a:ext cx="1463040" cy="922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38100</xdr:colOff>
      <xdr:row>5</xdr:row>
      <xdr:rowOff>175260</xdr:rowOff>
    </xdr:from>
    <xdr:to>
      <xdr:col>8</xdr:col>
      <xdr:colOff>175260</xdr:colOff>
      <xdr:row>10</xdr:row>
      <xdr:rowOff>167640</xdr:rowOff>
    </xdr:to>
    <xdr:sp macro="" textlink="">
      <xdr:nvSpPr>
        <xdr:cNvPr id="6" name="Rectangle: Rounded Corners 5">
          <a:extLst>
            <a:ext uri="{FF2B5EF4-FFF2-40B4-BE49-F238E27FC236}">
              <a16:creationId xmlns:a16="http://schemas.microsoft.com/office/drawing/2014/main" id="{9A0055EC-92BA-4FA4-BE49-BCF65DED7367}"/>
            </a:ext>
          </a:extLst>
        </xdr:cNvPr>
        <xdr:cNvSpPr/>
      </xdr:nvSpPr>
      <xdr:spPr>
        <a:xfrm>
          <a:off x="3802380" y="1089660"/>
          <a:ext cx="1356360" cy="906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53340</xdr:colOff>
      <xdr:row>6</xdr:row>
      <xdr:rowOff>22860</xdr:rowOff>
    </xdr:from>
    <xdr:to>
      <xdr:col>14</xdr:col>
      <xdr:colOff>190500</xdr:colOff>
      <xdr:row>11</xdr:row>
      <xdr:rowOff>15240</xdr:rowOff>
    </xdr:to>
    <xdr:sp macro="" textlink="">
      <xdr:nvSpPr>
        <xdr:cNvPr id="7" name="Rectangle: Rounded Corners 6">
          <a:extLst>
            <a:ext uri="{FF2B5EF4-FFF2-40B4-BE49-F238E27FC236}">
              <a16:creationId xmlns:a16="http://schemas.microsoft.com/office/drawing/2014/main" id="{5C4BAAC1-C357-49CE-9192-D8B04C6BD46F}"/>
            </a:ext>
          </a:extLst>
        </xdr:cNvPr>
        <xdr:cNvSpPr/>
      </xdr:nvSpPr>
      <xdr:spPr>
        <a:xfrm>
          <a:off x="7475220" y="1120140"/>
          <a:ext cx="1356360" cy="90678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243840</xdr:colOff>
      <xdr:row>6</xdr:row>
      <xdr:rowOff>30480</xdr:rowOff>
    </xdr:from>
    <xdr:to>
      <xdr:col>16</xdr:col>
      <xdr:colOff>381000</xdr:colOff>
      <xdr:row>11</xdr:row>
      <xdr:rowOff>38100</xdr:rowOff>
    </xdr:to>
    <xdr:sp macro="" textlink="">
      <xdr:nvSpPr>
        <xdr:cNvPr id="8" name="Rectangle: Rounded Corners 7">
          <a:extLst>
            <a:ext uri="{FF2B5EF4-FFF2-40B4-BE49-F238E27FC236}">
              <a16:creationId xmlns:a16="http://schemas.microsoft.com/office/drawing/2014/main" id="{0743659B-A97C-4FA5-B06F-0A49B814BF74}"/>
            </a:ext>
          </a:extLst>
        </xdr:cNvPr>
        <xdr:cNvSpPr/>
      </xdr:nvSpPr>
      <xdr:spPr>
        <a:xfrm>
          <a:off x="8884920" y="1127760"/>
          <a:ext cx="1356360" cy="92202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426720</xdr:colOff>
      <xdr:row>6</xdr:row>
      <xdr:rowOff>15240</xdr:rowOff>
    </xdr:from>
    <xdr:to>
      <xdr:col>18</xdr:col>
      <xdr:colOff>563880</xdr:colOff>
      <xdr:row>10</xdr:row>
      <xdr:rowOff>175260</xdr:rowOff>
    </xdr:to>
    <xdr:sp macro="" textlink="">
      <xdr:nvSpPr>
        <xdr:cNvPr id="9" name="Rectangle: Rounded Corners 8">
          <a:extLst>
            <a:ext uri="{FF2B5EF4-FFF2-40B4-BE49-F238E27FC236}">
              <a16:creationId xmlns:a16="http://schemas.microsoft.com/office/drawing/2014/main" id="{D1BE819F-2644-4943-8AE1-F4C36BC9D7FA}"/>
            </a:ext>
          </a:extLst>
        </xdr:cNvPr>
        <xdr:cNvSpPr/>
      </xdr:nvSpPr>
      <xdr:spPr>
        <a:xfrm>
          <a:off x="10287000" y="1112520"/>
          <a:ext cx="1356360" cy="89154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15252</xdr:colOff>
      <xdr:row>6</xdr:row>
      <xdr:rowOff>140785</xdr:rowOff>
    </xdr:from>
    <xdr:ext cx="548613" cy="530658"/>
    <xdr:sp macro="" textlink="">
      <xdr:nvSpPr>
        <xdr:cNvPr id="11" name="Rectangle 10">
          <a:extLst>
            <a:ext uri="{FF2B5EF4-FFF2-40B4-BE49-F238E27FC236}">
              <a16:creationId xmlns:a16="http://schemas.microsoft.com/office/drawing/2014/main" id="{67F793E2-0C3E-66D2-CC3A-8FB8A96E3F4D}"/>
            </a:ext>
          </a:extLst>
        </xdr:cNvPr>
        <xdr:cNvSpPr/>
      </xdr:nvSpPr>
      <xdr:spPr>
        <a:xfrm>
          <a:off x="1234452" y="1238065"/>
          <a:ext cx="548613" cy="530658"/>
        </a:xfrm>
        <a:prstGeom prst="rect">
          <a:avLst/>
        </a:prstGeom>
        <a:noFill/>
      </xdr:spPr>
      <xdr:txBody>
        <a:bodyPr wrap="none" lIns="91440" tIns="45720" rIns="91440" bIns="45720">
          <a:spAutoFit/>
        </a:bodyPr>
        <a:lstStyle/>
        <a:p>
          <a:pPr algn="ctr"/>
          <a:r>
            <a:rPr lang="en-US" sz="2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87</a:t>
          </a:r>
          <a:endParaRPr lang="en-US" sz="5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oneCellAnchor>
  <xdr:oneCellAnchor>
    <xdr:from>
      <xdr:col>4</xdr:col>
      <xdr:colOff>38150</xdr:colOff>
      <xdr:row>7</xdr:row>
      <xdr:rowOff>0</xdr:rowOff>
    </xdr:from>
    <xdr:ext cx="810351" cy="530658"/>
    <xdr:sp macro="" textlink="">
      <xdr:nvSpPr>
        <xdr:cNvPr id="12" name="Rectangle 11">
          <a:extLst>
            <a:ext uri="{FF2B5EF4-FFF2-40B4-BE49-F238E27FC236}">
              <a16:creationId xmlns:a16="http://schemas.microsoft.com/office/drawing/2014/main" id="{B6EC8AA0-5288-4057-B985-76819BC5F2AB}"/>
            </a:ext>
          </a:extLst>
        </xdr:cNvPr>
        <xdr:cNvSpPr/>
      </xdr:nvSpPr>
      <xdr:spPr>
        <a:xfrm>
          <a:off x="2583230" y="1280160"/>
          <a:ext cx="810351" cy="530658"/>
        </a:xfrm>
        <a:prstGeom prst="rect">
          <a:avLst/>
        </a:prstGeom>
        <a:noFill/>
      </xdr:spPr>
      <xdr:txBody>
        <a:bodyPr wrap="none" lIns="91440" tIns="45720" rIns="91440" bIns="45720">
          <a:spAutoFit/>
        </a:bodyPr>
        <a:lstStyle/>
        <a:p>
          <a:pPr algn="ctr"/>
          <a:r>
            <a:rPr lang="en-US" sz="2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49%</a:t>
          </a:r>
        </a:p>
      </xdr:txBody>
    </xdr:sp>
    <xdr:clientData/>
  </xdr:oneCellAnchor>
  <xdr:oneCellAnchor>
    <xdr:from>
      <xdr:col>6</xdr:col>
      <xdr:colOff>33088</xdr:colOff>
      <xdr:row>7</xdr:row>
      <xdr:rowOff>38100</xdr:rowOff>
    </xdr:from>
    <xdr:ext cx="1460431" cy="405432"/>
    <xdr:sp macro="" textlink="">
      <xdr:nvSpPr>
        <xdr:cNvPr id="13" name="Rectangle 12">
          <a:extLst>
            <a:ext uri="{FF2B5EF4-FFF2-40B4-BE49-F238E27FC236}">
              <a16:creationId xmlns:a16="http://schemas.microsoft.com/office/drawing/2014/main" id="{09C4951D-52BA-4C1E-864F-55BF60FFD746}"/>
            </a:ext>
          </a:extLst>
        </xdr:cNvPr>
        <xdr:cNvSpPr/>
      </xdr:nvSpPr>
      <xdr:spPr>
        <a:xfrm>
          <a:off x="3797368" y="1318260"/>
          <a:ext cx="1460431" cy="405432"/>
        </a:xfrm>
        <a:prstGeom prst="rect">
          <a:avLst/>
        </a:prstGeom>
        <a:noFill/>
      </xdr:spPr>
      <xdr:txBody>
        <a:bodyPr wrap="square" lIns="91440" tIns="45720" rIns="91440" bIns="45720">
          <a:spAutoFit/>
        </a:bodyPr>
        <a:lstStyle/>
        <a:p>
          <a:pPr algn="ctr"/>
          <a:r>
            <a:rPr lang="en-US" sz="2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76,363.45₹</a:t>
          </a:r>
        </a:p>
      </xdr:txBody>
    </xdr:sp>
    <xdr:clientData/>
  </xdr:oneCellAnchor>
  <xdr:oneCellAnchor>
    <xdr:from>
      <xdr:col>12</xdr:col>
      <xdr:colOff>441960</xdr:colOff>
      <xdr:row>6</xdr:row>
      <xdr:rowOff>175260</xdr:rowOff>
    </xdr:from>
    <xdr:ext cx="548613" cy="530658"/>
    <xdr:sp macro="" textlink="">
      <xdr:nvSpPr>
        <xdr:cNvPr id="17" name="Rectangle 16">
          <a:extLst>
            <a:ext uri="{FF2B5EF4-FFF2-40B4-BE49-F238E27FC236}">
              <a16:creationId xmlns:a16="http://schemas.microsoft.com/office/drawing/2014/main" id="{104B5ED2-10D5-41CE-B0ED-0068948EF604}"/>
            </a:ext>
          </a:extLst>
        </xdr:cNvPr>
        <xdr:cNvSpPr/>
      </xdr:nvSpPr>
      <xdr:spPr>
        <a:xfrm>
          <a:off x="7863840" y="1272540"/>
          <a:ext cx="548613" cy="530658"/>
        </a:xfrm>
        <a:prstGeom prst="rect">
          <a:avLst/>
        </a:prstGeom>
        <a:noFill/>
      </xdr:spPr>
      <xdr:txBody>
        <a:bodyPr wrap="none" lIns="91440" tIns="45720" rIns="91440" bIns="45720">
          <a:spAutoFit/>
        </a:bodyPr>
        <a:lstStyle/>
        <a:p>
          <a:pPr algn="ctr"/>
          <a:r>
            <a:rPr lang="en-US" sz="2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92</a:t>
          </a:r>
          <a:endParaRPr lang="en-US" sz="5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oneCellAnchor>
  <xdr:oneCellAnchor>
    <xdr:from>
      <xdr:col>14</xdr:col>
      <xdr:colOff>419100</xdr:colOff>
      <xdr:row>6</xdr:row>
      <xdr:rowOff>167640</xdr:rowOff>
    </xdr:from>
    <xdr:ext cx="810351" cy="530658"/>
    <xdr:sp macro="" textlink="">
      <xdr:nvSpPr>
        <xdr:cNvPr id="19" name="Rectangle 18">
          <a:extLst>
            <a:ext uri="{FF2B5EF4-FFF2-40B4-BE49-F238E27FC236}">
              <a16:creationId xmlns:a16="http://schemas.microsoft.com/office/drawing/2014/main" id="{84DBA0D9-8A14-44EB-98F4-13B5BAB367F5}"/>
            </a:ext>
          </a:extLst>
        </xdr:cNvPr>
        <xdr:cNvSpPr/>
      </xdr:nvSpPr>
      <xdr:spPr>
        <a:xfrm>
          <a:off x="9060180" y="1264920"/>
          <a:ext cx="810351" cy="530658"/>
        </a:xfrm>
        <a:prstGeom prst="rect">
          <a:avLst/>
        </a:prstGeom>
        <a:noFill/>
      </xdr:spPr>
      <xdr:txBody>
        <a:bodyPr wrap="none" lIns="91440" tIns="45720" rIns="91440" bIns="45720">
          <a:spAutoFit/>
        </a:bodyPr>
        <a:lstStyle/>
        <a:p>
          <a:pPr algn="ctr"/>
          <a:r>
            <a:rPr lang="en-US" sz="2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47%</a:t>
          </a:r>
        </a:p>
      </xdr:txBody>
    </xdr:sp>
    <xdr:clientData/>
  </xdr:oneCellAnchor>
  <xdr:oneCellAnchor>
    <xdr:from>
      <xdr:col>16</xdr:col>
      <xdr:colOff>373380</xdr:colOff>
      <xdr:row>7</xdr:row>
      <xdr:rowOff>38100</xdr:rowOff>
    </xdr:from>
    <xdr:ext cx="1463040" cy="405432"/>
    <xdr:sp macro="" textlink="">
      <xdr:nvSpPr>
        <xdr:cNvPr id="20" name="Rectangle 19">
          <a:extLst>
            <a:ext uri="{FF2B5EF4-FFF2-40B4-BE49-F238E27FC236}">
              <a16:creationId xmlns:a16="http://schemas.microsoft.com/office/drawing/2014/main" id="{ADD9650A-DFC6-4F0F-8DD6-0EAC138950A6}"/>
            </a:ext>
          </a:extLst>
        </xdr:cNvPr>
        <xdr:cNvSpPr/>
      </xdr:nvSpPr>
      <xdr:spPr>
        <a:xfrm>
          <a:off x="10233660" y="1318260"/>
          <a:ext cx="1463040" cy="405432"/>
        </a:xfrm>
        <a:prstGeom prst="rect">
          <a:avLst/>
        </a:prstGeom>
        <a:noFill/>
      </xdr:spPr>
      <xdr:txBody>
        <a:bodyPr wrap="square" lIns="91440" tIns="45720" rIns="91440" bIns="45720">
          <a:spAutoFit/>
        </a:bodyPr>
        <a:lstStyle/>
        <a:p>
          <a:pPr algn="ctr"/>
          <a:r>
            <a:rPr lang="en-US" sz="2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76,363.45₹</a:t>
          </a:r>
        </a:p>
      </xdr:txBody>
    </xdr:sp>
    <xdr:clientData/>
  </xdr:oneCellAnchor>
  <xdr:twoCellAnchor>
    <xdr:from>
      <xdr:col>1</xdr:col>
      <xdr:colOff>297180</xdr:colOff>
      <xdr:row>15</xdr:row>
      <xdr:rowOff>22860</xdr:rowOff>
    </xdr:from>
    <xdr:to>
      <xdr:col>8</xdr:col>
      <xdr:colOff>167640</xdr:colOff>
      <xdr:row>28</xdr:row>
      <xdr:rowOff>30480</xdr:rowOff>
    </xdr:to>
    <xdr:sp macro="" textlink="">
      <xdr:nvSpPr>
        <xdr:cNvPr id="21" name="Rectangle: Rounded Corners 20">
          <a:extLst>
            <a:ext uri="{FF2B5EF4-FFF2-40B4-BE49-F238E27FC236}">
              <a16:creationId xmlns:a16="http://schemas.microsoft.com/office/drawing/2014/main" id="{27D6A301-C7F2-7065-085F-33C9ACCDE436}"/>
            </a:ext>
          </a:extLst>
        </xdr:cNvPr>
        <xdr:cNvSpPr/>
      </xdr:nvSpPr>
      <xdr:spPr>
        <a:xfrm>
          <a:off x="906780" y="2766060"/>
          <a:ext cx="4244340" cy="2385060"/>
        </a:xfrm>
        <a:prstGeom prst="roundRect">
          <a:avLst>
            <a:gd name="adj" fmla="val 4738"/>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571500</xdr:colOff>
      <xdr:row>15</xdr:row>
      <xdr:rowOff>22860</xdr:rowOff>
    </xdr:from>
    <xdr:to>
      <xdr:col>19</xdr:col>
      <xdr:colOff>7620</xdr:colOff>
      <xdr:row>28</xdr:row>
      <xdr:rowOff>99060</xdr:rowOff>
    </xdr:to>
    <xdr:sp macro="" textlink="">
      <xdr:nvSpPr>
        <xdr:cNvPr id="22" name="Rectangle: Rounded Corners 21">
          <a:extLst>
            <a:ext uri="{FF2B5EF4-FFF2-40B4-BE49-F238E27FC236}">
              <a16:creationId xmlns:a16="http://schemas.microsoft.com/office/drawing/2014/main" id="{FF94F984-C2B4-49A0-966D-42A0C04617FB}"/>
            </a:ext>
          </a:extLst>
        </xdr:cNvPr>
        <xdr:cNvSpPr/>
      </xdr:nvSpPr>
      <xdr:spPr>
        <a:xfrm>
          <a:off x="7383780" y="2766060"/>
          <a:ext cx="4312920" cy="2453640"/>
        </a:xfrm>
        <a:prstGeom prst="roundRect">
          <a:avLst>
            <a:gd name="adj" fmla="val 4738"/>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53340</xdr:colOff>
      <xdr:row>15</xdr:row>
      <xdr:rowOff>91440</xdr:rowOff>
    </xdr:from>
    <xdr:to>
      <xdr:col>18</xdr:col>
      <xdr:colOff>556260</xdr:colOff>
      <xdr:row>27</xdr:row>
      <xdr:rowOff>121920</xdr:rowOff>
    </xdr:to>
    <xdr:graphicFrame macro="">
      <xdr:nvGraphicFramePr>
        <xdr:cNvPr id="23" name="Chart 22">
          <a:extLst>
            <a:ext uri="{FF2B5EF4-FFF2-40B4-BE49-F238E27FC236}">
              <a16:creationId xmlns:a16="http://schemas.microsoft.com/office/drawing/2014/main" id="{08EFDD4A-2AC7-4E4B-8310-F386D763D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388620</xdr:colOff>
      <xdr:row>15</xdr:row>
      <xdr:rowOff>129540</xdr:rowOff>
    </xdr:from>
    <xdr:to>
      <xdr:col>8</xdr:col>
      <xdr:colOff>99060</xdr:colOff>
      <xdr:row>27</xdr:row>
      <xdr:rowOff>91440</xdr:rowOff>
    </xdr:to>
    <xdr:graphicFrame macro="">
      <xdr:nvGraphicFramePr>
        <xdr:cNvPr id="24" name="Chart 23">
          <a:extLst>
            <a:ext uri="{FF2B5EF4-FFF2-40B4-BE49-F238E27FC236}">
              <a16:creationId xmlns:a16="http://schemas.microsoft.com/office/drawing/2014/main" id="{D05C17C0-4209-4622-A63C-D6BF84BCF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266700</xdr:colOff>
      <xdr:row>2</xdr:row>
      <xdr:rowOff>76200</xdr:rowOff>
    </xdr:from>
    <xdr:to>
      <xdr:col>8</xdr:col>
      <xdr:colOff>205740</xdr:colOff>
      <xdr:row>5</xdr:row>
      <xdr:rowOff>106680</xdr:rowOff>
    </xdr:to>
    <xdr:sp macro="" textlink="">
      <xdr:nvSpPr>
        <xdr:cNvPr id="25" name="Rectangle: Rounded Corners 24">
          <a:extLst>
            <a:ext uri="{FF2B5EF4-FFF2-40B4-BE49-F238E27FC236}">
              <a16:creationId xmlns:a16="http://schemas.microsoft.com/office/drawing/2014/main" id="{2C05FE47-469D-4030-8857-A394A9E0C00F}"/>
            </a:ext>
          </a:extLst>
        </xdr:cNvPr>
        <xdr:cNvSpPr/>
      </xdr:nvSpPr>
      <xdr:spPr>
        <a:xfrm>
          <a:off x="876300" y="441960"/>
          <a:ext cx="4312920" cy="579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NEWZEALAND'S EMPLOYEE DATA</a:t>
          </a:r>
          <a:endParaRPr lang="en-IN" sz="20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11</xdr:col>
      <xdr:colOff>594360</xdr:colOff>
      <xdr:row>2</xdr:row>
      <xdr:rowOff>129540</xdr:rowOff>
    </xdr:from>
    <xdr:to>
      <xdr:col>19</xdr:col>
      <xdr:colOff>22860</xdr:colOff>
      <xdr:row>5</xdr:row>
      <xdr:rowOff>144780</xdr:rowOff>
    </xdr:to>
    <xdr:sp macro="" textlink="">
      <xdr:nvSpPr>
        <xdr:cNvPr id="26" name="Rectangle: Rounded Corners 25">
          <a:extLst>
            <a:ext uri="{FF2B5EF4-FFF2-40B4-BE49-F238E27FC236}">
              <a16:creationId xmlns:a16="http://schemas.microsoft.com/office/drawing/2014/main" id="{43B81061-A70C-6268-0FBC-23B3DDDF600C}"/>
            </a:ext>
          </a:extLst>
        </xdr:cNvPr>
        <xdr:cNvSpPr/>
      </xdr:nvSpPr>
      <xdr:spPr>
        <a:xfrm>
          <a:off x="7406640" y="495300"/>
          <a:ext cx="4305300" cy="56388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2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INDIA'S EMPLOYEE DATA</a:t>
          </a:r>
        </a:p>
      </xdr:txBody>
    </xdr:sp>
    <xdr:clientData/>
  </xdr:twoCellAnchor>
  <xdr:twoCellAnchor>
    <xdr:from>
      <xdr:col>1</xdr:col>
      <xdr:colOff>365760</xdr:colOff>
      <xdr:row>11</xdr:row>
      <xdr:rowOff>91440</xdr:rowOff>
    </xdr:from>
    <xdr:to>
      <xdr:col>18</xdr:col>
      <xdr:colOff>510540</xdr:colOff>
      <xdr:row>14</xdr:row>
      <xdr:rowOff>167640</xdr:rowOff>
    </xdr:to>
    <xdr:sp macro="" textlink="">
      <xdr:nvSpPr>
        <xdr:cNvPr id="27" name="Rectangle: Rounded Corners 26">
          <a:extLst>
            <a:ext uri="{FF2B5EF4-FFF2-40B4-BE49-F238E27FC236}">
              <a16:creationId xmlns:a16="http://schemas.microsoft.com/office/drawing/2014/main" id="{3DEE47A6-AC2A-E325-F391-DF973DA77DBA}"/>
            </a:ext>
          </a:extLst>
        </xdr:cNvPr>
        <xdr:cNvSpPr/>
      </xdr:nvSpPr>
      <xdr:spPr>
        <a:xfrm>
          <a:off x="975360" y="2103120"/>
          <a:ext cx="10614660" cy="624840"/>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IN" sz="2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HEADCOUNT</a:t>
          </a:r>
          <a:r>
            <a:rPr lang="en-IN" sz="2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OF THE EMPLOYEES </a:t>
          </a:r>
          <a:endParaRPr lang="en-IN" sz="2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15240</xdr:colOff>
      <xdr:row>2</xdr:row>
      <xdr:rowOff>15241</xdr:rowOff>
    </xdr:from>
    <xdr:to>
      <xdr:col>5</xdr:col>
      <xdr:colOff>1021080</xdr:colOff>
      <xdr:row>7</xdr:row>
      <xdr:rowOff>83821</xdr:rowOff>
    </xdr:to>
    <mc:AlternateContent xmlns:mc="http://schemas.openxmlformats.org/markup-compatibility/2006">
      <mc:Choice xmlns:a14="http://schemas.microsoft.com/office/drawing/2010/main" Requires="a14">
        <xdr:graphicFrame macro="">
          <xdr:nvGraphicFramePr>
            <xdr:cNvPr id="2" name="Custom">
              <a:extLst>
                <a:ext uri="{FF2B5EF4-FFF2-40B4-BE49-F238E27FC236}">
                  <a16:creationId xmlns:a16="http://schemas.microsoft.com/office/drawing/2014/main" id="{277F4AD1-852D-068F-674A-5ADC8016DF0D}"/>
                </a:ext>
              </a:extLst>
            </xdr:cNvPr>
            <xdr:cNvGraphicFramePr/>
          </xdr:nvGraphicFramePr>
          <xdr:xfrm>
            <a:off x="0" y="0"/>
            <a:ext cx="0" cy="0"/>
          </xdr:xfrm>
          <a:graphic>
            <a:graphicData uri="http://schemas.microsoft.com/office/drawing/2010/slicer">
              <sle:slicer xmlns:sle="http://schemas.microsoft.com/office/drawing/2010/slicer" name="Custom"/>
            </a:graphicData>
          </a:graphic>
        </xdr:graphicFrame>
      </mc:Choice>
      <mc:Fallback>
        <xdr:sp macro="" textlink="">
          <xdr:nvSpPr>
            <xdr:cNvPr id="0" name=""/>
            <xdr:cNvSpPr>
              <a:spLocks noTextEdit="1"/>
            </xdr:cNvSpPr>
          </xdr:nvSpPr>
          <xdr:spPr>
            <a:xfrm>
              <a:off x="3611880" y="381001"/>
              <a:ext cx="182880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594360</xdr:colOff>
      <xdr:row>3</xdr:row>
      <xdr:rowOff>0</xdr:rowOff>
    </xdr:from>
    <xdr:to>
      <xdr:col>10</xdr:col>
      <xdr:colOff>541020</xdr:colOff>
      <xdr:row>20</xdr:row>
      <xdr:rowOff>175260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D57A5A9-D3A3-4F3E-91EE-7DEE5EA4CB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03960" y="548640"/>
              <a:ext cx="5433060" cy="32842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472440</xdr:colOff>
      <xdr:row>3</xdr:row>
      <xdr:rowOff>15240</xdr:rowOff>
    </xdr:from>
    <xdr:to>
      <xdr:col>20</xdr:col>
      <xdr:colOff>167640</xdr:colOff>
      <xdr:row>20</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E2F8340-4FB4-421A-8D0E-19FE556508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787640" y="563880"/>
              <a:ext cx="4572000" cy="32461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381000</xdr:colOff>
      <xdr:row>3</xdr:row>
      <xdr:rowOff>22860</xdr:rowOff>
    </xdr:from>
    <xdr:to>
      <xdr:col>17</xdr:col>
      <xdr:colOff>15240</xdr:colOff>
      <xdr:row>21</xdr:row>
      <xdr:rowOff>91440</xdr:rowOff>
    </xdr:to>
    <xdr:graphicFrame macro="">
      <xdr:nvGraphicFramePr>
        <xdr:cNvPr id="2" name="Chart 1">
          <a:extLst>
            <a:ext uri="{FF2B5EF4-FFF2-40B4-BE49-F238E27FC236}">
              <a16:creationId xmlns:a16="http://schemas.microsoft.com/office/drawing/2014/main" id="{EB58F052-6054-4339-860C-59C8D3029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160020</xdr:colOff>
      <xdr:row>5</xdr:row>
      <xdr:rowOff>0</xdr:rowOff>
    </xdr:from>
    <xdr:to>
      <xdr:col>9</xdr:col>
      <xdr:colOff>464820</xdr:colOff>
      <xdr:row>20</xdr:row>
      <xdr:rowOff>0</xdr:rowOff>
    </xdr:to>
    <xdr:graphicFrame macro="">
      <xdr:nvGraphicFramePr>
        <xdr:cNvPr id="2" name="Chart 1">
          <a:extLst>
            <a:ext uri="{FF2B5EF4-FFF2-40B4-BE49-F238E27FC236}">
              <a16:creationId xmlns:a16="http://schemas.microsoft.com/office/drawing/2014/main" id="{17E2CDD4-0B51-C855-8C03-D00A21E24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35</xdr:row>
      <xdr:rowOff>45720</xdr:rowOff>
    </xdr:from>
    <xdr:to>
      <xdr:col>5</xdr:col>
      <xdr:colOff>335280</xdr:colOff>
      <xdr:row>50</xdr:row>
      <xdr:rowOff>45720</xdr:rowOff>
    </xdr:to>
    <xdr:graphicFrame macro="">
      <xdr:nvGraphicFramePr>
        <xdr:cNvPr id="2" name="Chart 1">
          <a:extLst>
            <a:ext uri="{FF2B5EF4-FFF2-40B4-BE49-F238E27FC236}">
              <a16:creationId xmlns:a16="http://schemas.microsoft.com/office/drawing/2014/main" id="{9A3DC125-5942-A42C-6B6B-5FE11E262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91440</xdr:rowOff>
    </xdr:from>
    <xdr:to>
      <xdr:col>5</xdr:col>
      <xdr:colOff>335280</xdr:colOff>
      <xdr:row>33</xdr:row>
      <xdr:rowOff>91440</xdr:rowOff>
    </xdr:to>
    <xdr:graphicFrame macro="">
      <xdr:nvGraphicFramePr>
        <xdr:cNvPr id="3" name="Chart 2">
          <a:extLst>
            <a:ext uri="{FF2B5EF4-FFF2-40B4-BE49-F238E27FC236}">
              <a16:creationId xmlns:a16="http://schemas.microsoft.com/office/drawing/2014/main" id="{B1E5446F-9507-6803-1492-C2F8F584AF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396240</xdr:colOff>
      <xdr:row>7</xdr:row>
      <xdr:rowOff>121920</xdr:rowOff>
    </xdr:from>
    <xdr:to>
      <xdr:col>8</xdr:col>
      <xdr:colOff>396240</xdr:colOff>
      <xdr:row>21</xdr:row>
      <xdr:rowOff>28575</xdr:rowOff>
    </xdr:to>
    <mc:AlternateContent xmlns:mc="http://schemas.openxmlformats.org/markup-compatibility/2006">
      <mc:Choice xmlns:a14="http://schemas.microsoft.com/office/drawing/2010/main" Requires="a14">
        <xdr:graphicFrame macro="">
          <xdr:nvGraphicFramePr>
            <xdr:cNvPr id="4" name="Custom 1">
              <a:extLst>
                <a:ext uri="{FF2B5EF4-FFF2-40B4-BE49-F238E27FC236}">
                  <a16:creationId xmlns:a16="http://schemas.microsoft.com/office/drawing/2014/main" id="{A0AFC590-7455-443E-7598-0D4C577553A7}"/>
                </a:ext>
              </a:extLst>
            </xdr:cNvPr>
            <xdr:cNvGraphicFramePr/>
          </xdr:nvGraphicFramePr>
          <xdr:xfrm>
            <a:off x="0" y="0"/>
            <a:ext cx="0" cy="0"/>
          </xdr:xfrm>
          <a:graphic>
            <a:graphicData uri="http://schemas.microsoft.com/office/drawing/2010/slicer">
              <sle:slicer xmlns:sle="http://schemas.microsoft.com/office/drawing/2010/slicer" name="Custom 1"/>
            </a:graphicData>
          </a:graphic>
        </xdr:graphicFrame>
      </mc:Choice>
      <mc:Fallback>
        <xdr:sp macro="" textlink="">
          <xdr:nvSpPr>
            <xdr:cNvPr id="0" name=""/>
            <xdr:cNvSpPr>
              <a:spLocks noTextEdit="1"/>
            </xdr:cNvSpPr>
          </xdr:nvSpPr>
          <xdr:spPr>
            <a:xfrm>
              <a:off x="4632960" y="1402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ha Poojary" refreshedDate="45392.447912152777" createdVersion="8" refreshedVersion="8" minRefreshableVersion="3" recordCount="179" xr:uid="{FF62F48B-496B-4A39-A215-B9A500D8CE1F}">
  <cacheSource type="worksheet">
    <worksheetSource name="Append1"/>
  </cacheSource>
  <cacheFields count="9">
    <cacheField name="Name" numFmtId="0">
      <sharedItems/>
    </cacheField>
    <cacheField name="Gender" numFmtId="0">
      <sharedItems count="3">
        <s v="Male"/>
        <s v="Female"/>
        <s v="other"/>
      </sharedItems>
    </cacheField>
    <cacheField name="Department" numFmtId="0">
      <sharedItems/>
    </cacheField>
    <cacheField name="Age" numFmtId="0">
      <sharedItems containsSemiMixedTypes="0" containsString="0" containsNumber="1" containsInteger="1" minValue="19" maxValue="46"/>
    </cacheField>
    <cacheField name="Date joined" numFmtId="14">
      <sharedItems containsSemiMixedTypes="0" containsNonDate="0" containsDate="1" containsString="0" minDate="2020-05-07T00:00:00" maxDate="2023-04-30T00:00:00"/>
    </cacheField>
    <cacheField name="Salary" numFmtId="8">
      <sharedItems containsSemiMixedTypes="0" containsString="0" containsNumber="1" containsInteger="1" minValue="33920" maxValue="119110"/>
    </cacheField>
    <cacheField name="Rating" numFmtId="0">
      <sharedItems count="5">
        <s v="Above average"/>
        <s v="Average"/>
        <s v="Poor"/>
        <s v="Exceptional"/>
        <s v="Very poor"/>
      </sharedItems>
    </cacheField>
    <cacheField name="Custom" numFmtId="0">
      <sharedItems count="2">
        <s v="NZ"/>
        <s v="IND"/>
      </sharedItems>
    </cacheField>
    <cacheField name="tenure" numFmtId="2">
      <sharedItems containsSemiMixedTypes="0" containsString="0" containsNumber="1" minValue="0.9506849315068493" maxValue="3.9287671232876713"/>
    </cacheField>
  </cacheFields>
  <extLst>
    <ext xmlns:x14="http://schemas.microsoft.com/office/spreadsheetml/2009/9/main" uri="{725AE2AE-9491-48be-B2B4-4EB974FC3084}">
      <x14:pivotCacheDefinition pivotCacheId="4290323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wetha Poojary" refreshedDate="45392.513325694446" backgroundQuery="1" createdVersion="8" refreshedVersion="8" minRefreshableVersion="3" recordCount="0" supportSubquery="1" supportAdvancedDrill="1" xr:uid="{FF3250AD-5AFC-4A61-88FE-3AB7E35E04EB}">
  <cacheSource type="external" connectionId="5"/>
  <cacheFields count="3">
    <cacheField name="[Append1].[Date joined (Month)].[Date joined (Month)]" caption="Date joined (Month)" numFmtId="0" hierarchy="13" level="1">
      <sharedItems count="12">
        <s v="May"/>
        <s v="Jun"/>
        <s v="Jul"/>
        <s v="Aug"/>
        <s v="Sep"/>
        <s v="Oct"/>
        <s v="Nov"/>
        <s v="Dec"/>
        <s v="Jan"/>
        <s v="Feb"/>
        <s v="Mar"/>
        <s v="Apr"/>
      </sharedItems>
    </cacheField>
    <cacheField name="[Append1].[Date joined (Year)].[Date joined (Year)]" caption="Date joined (Year)" numFmtId="0" hierarchy="11" level="1">
      <sharedItems count="4">
        <s v="2020"/>
        <s v="2021"/>
        <s v="2022"/>
        <s v="2023"/>
      </sharedItems>
    </cacheField>
    <cacheField name="[Measures].[Count of Name]" caption="Count of Name" numFmtId="0" hierarchy="17" level="32767"/>
  </cacheFields>
  <cacheHierarchies count="18">
    <cacheHierarchy uniqueName="[Append1].[Name]" caption="Name" attribute="1" defaultMemberUniqueName="[Append1].[Name].[All]" allUniqueName="[Append1].[Name].[All]" dimensionUniqueName="[Append1]" displayFolder="" count="0" memberValueDatatype="130" unbalanced="0"/>
    <cacheHierarchy uniqueName="[Append1].[Gender]" caption="Gender" attribute="1" defaultMemberUniqueName="[Append1].[Gender].[All]" allUniqueName="[Append1].[Gender].[All]" dimensionUniqueName="[Append1]" displayFolder="" count="0" memberValueDatatype="130" unbalanced="0"/>
    <cacheHierarchy uniqueName="[Append1].[Department]" caption="Department" attribute="1" defaultMemberUniqueName="[Append1].[Department].[All]" allUniqueName="[Append1].[Department].[All]" dimensionUniqueName="[Append1]" displayFolder="" count="0" memberValueDatatype="130" unbalanced="0"/>
    <cacheHierarchy uniqueName="[Append1].[Age]" caption="Age" attribute="1" defaultMemberUniqueName="[Append1].[Age].[All]" allUniqueName="[Append1].[Age].[All]" dimensionUniqueName="[Append1]" displayFolder="" count="0" memberValueDatatype="20" unbalanced="0"/>
    <cacheHierarchy uniqueName="[Append1].[Date joined]" caption="Date joined" attribute="1" time="1" defaultMemberUniqueName="[Append1].[Date joined].[All]" allUniqueName="[Append1].[Date joined].[All]" dimensionUniqueName="[Append1]" displayFolder="" count="0" memberValueDatatype="7" unbalanced="0"/>
    <cacheHierarchy uniqueName="[Append1].[Salary]" caption="Salary" attribute="1" defaultMemberUniqueName="[Append1].[Salary].[All]" allUniqueName="[Append1].[Salary].[All]" dimensionUniqueName="[Append1]" displayFolder="" count="0" memberValueDatatype="20" unbalanced="0"/>
    <cacheHierarchy uniqueName="[Append1].[Rating]" caption="Rating" attribute="1" defaultMemberUniqueName="[Append1].[Rating].[All]" allUniqueName="[Append1].[Rating].[All]" dimensionUniqueName="[Append1]" displayFolder="" count="0" memberValueDatatype="130" unbalanced="0"/>
    <cacheHierarchy uniqueName="[Append1].[Custom]" caption="Custom" attribute="1" defaultMemberUniqueName="[Append1].[Custom].[All]" allUniqueName="[Append1].[Custom].[All]" dimensionUniqueName="[Append1]" displayFolder="" count="0" memberValueDatatype="130" unbalanced="0"/>
    <cacheHierarchy uniqueName="[Append1].[tenure]" caption="tenure" attribute="1" defaultMemberUniqueName="[Append1].[tenure].[All]" allUniqueName="[Append1].[tenure].[All]" dimensionUniqueName="[Append1]" displayFolder="" count="0" memberValueDatatype="5" unbalanced="0"/>
    <cacheHierarchy uniqueName="[Append1].[Bonus]" caption="Bonus" attribute="1" defaultMemberUniqueName="[Append1].[Bonus].[All]" allUniqueName="[Append1].[Bonus].[All]" dimensionUniqueName="[Append1]" displayFolder="" count="0" memberValueDatatype="20" unbalanced="0"/>
    <cacheHierarchy uniqueName="[Append1].[Rating as number]" caption="Rating as number" attribute="1" defaultMemberUniqueName="[Append1].[Rating as number].[All]" allUniqueName="[Append1].[Rating as number].[All]" dimensionUniqueName="[Append1]" displayFolder="" count="0" memberValueDatatype="20" unbalanced="0"/>
    <cacheHierarchy uniqueName="[Append1].[Date joined (Year)]" caption="Date joined (Year)" attribute="1" defaultMemberUniqueName="[Append1].[Date joined (Year)].[All]" allUniqueName="[Append1].[Date joined (Year)].[All]" dimensionUniqueName="[Append1]" displayFolder="" count="2" memberValueDatatype="130" unbalanced="0">
      <fieldsUsage count="2">
        <fieldUsage x="-1"/>
        <fieldUsage x="1"/>
      </fieldsUsage>
    </cacheHierarchy>
    <cacheHierarchy uniqueName="[Append1].[Date joined (Quarter)]" caption="Date joined (Quarter)" attribute="1" defaultMemberUniqueName="[Append1].[Date joined (Quarter)].[All]" allUniqueName="[Append1].[Date joined (Quarter)].[All]" dimensionUniqueName="[Append1]" displayFolder="" count="0" memberValueDatatype="130" unbalanced="0"/>
    <cacheHierarchy uniqueName="[Append1].[Date joined (Month)]" caption="Date joined (Month)" attribute="1" defaultMemberUniqueName="[Append1].[Date joined (Month)].[All]" allUniqueName="[Append1].[Date joined (Month)].[All]" dimensionUniqueName="[Append1]" displayFolder="" count="2" memberValueDatatype="130" unbalanced="0">
      <fieldsUsage count="2">
        <fieldUsage x="-1"/>
        <fieldUsage x="0"/>
      </fieldsUsage>
    </cacheHierarchy>
    <cacheHierarchy uniqueName="[Append1].[Date joined (Month Index)]" caption="Date joined (Month Index)" attribute="1" defaultMemberUniqueName="[Append1].[Date joined (Month Index)].[All]" allUniqueName="[Append1].[Date joined (Month Index)].[All]" dimensionUniqueName="[Append1]" displayFolder="" count="0" memberValueDatatype="20" unbalanced="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Count of Name]" caption="Count of Name" measure="1" displayFolder="" measureGroup="Append1"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wetha Poojary" refreshedDate="45392.538589814816" backgroundQuery="1" createdVersion="8" refreshedVersion="8" minRefreshableVersion="3" recordCount="0" supportSubquery="1" supportAdvancedDrill="1" xr:uid="{7DD90AB3-5809-4559-8BC3-CD68B16CC009}">
  <cacheSource type="external" connectionId="5"/>
  <cacheFields count="3">
    <cacheField name="[Append1].[Department].[Department]" caption="Department" numFmtId="0" hierarchy="2" level="1">
      <sharedItems count="5">
        <s v="Finance"/>
        <s v="HR"/>
        <s v="Procurement"/>
        <s v="Sales"/>
        <s v="Website"/>
      </sharedItems>
    </cacheField>
    <cacheField name="[Measures].[Count of Name]" caption="Count of Name" numFmtId="0" hierarchy="17" level="32767"/>
    <cacheField name="[Append1].[Custom].[Custom]" caption="Custom" numFmtId="0" hierarchy="7" level="1">
      <sharedItems containsSemiMixedTypes="0" containsNonDate="0" containsString="0"/>
    </cacheField>
  </cacheFields>
  <cacheHierarchies count="18">
    <cacheHierarchy uniqueName="[Append1].[Name]" caption="Name" attribute="1" defaultMemberUniqueName="[Append1].[Name].[All]" allUniqueName="[Append1].[Name].[All]" dimensionUniqueName="[Append1]" displayFolder="" count="0" memberValueDatatype="130" unbalanced="0"/>
    <cacheHierarchy uniqueName="[Append1].[Gender]" caption="Gender" attribute="1" defaultMemberUniqueName="[Append1].[Gender].[All]" allUniqueName="[Append1].[Gender].[All]" dimensionUniqueName="[Append1]" displayFolder="" count="0" memberValueDatatype="130" unbalanced="0"/>
    <cacheHierarchy uniqueName="[Append1].[Department]" caption="Department" attribute="1" defaultMemberUniqueName="[Append1].[Department].[All]" allUniqueName="[Append1].[Department].[All]" dimensionUniqueName="[Append1]" displayFolder="" count="2" memberValueDatatype="130" unbalanced="0">
      <fieldsUsage count="2">
        <fieldUsage x="-1"/>
        <fieldUsage x="0"/>
      </fieldsUsage>
    </cacheHierarchy>
    <cacheHierarchy uniqueName="[Append1].[Age]" caption="Age" attribute="1" defaultMemberUniqueName="[Append1].[Age].[All]" allUniqueName="[Append1].[Age].[All]" dimensionUniqueName="[Append1]" displayFolder="" count="0" memberValueDatatype="20" unbalanced="0"/>
    <cacheHierarchy uniqueName="[Append1].[Date joined]" caption="Date joined" attribute="1" time="1" defaultMemberUniqueName="[Append1].[Date joined].[All]" allUniqueName="[Append1].[Date joined].[All]" dimensionUniqueName="[Append1]" displayFolder="" count="0" memberValueDatatype="7" unbalanced="0"/>
    <cacheHierarchy uniqueName="[Append1].[Salary]" caption="Salary" attribute="1" defaultMemberUniqueName="[Append1].[Salary].[All]" allUniqueName="[Append1].[Salary].[All]" dimensionUniqueName="[Append1]" displayFolder="" count="0" memberValueDatatype="20" unbalanced="0"/>
    <cacheHierarchy uniqueName="[Append1].[Rating]" caption="Rating" attribute="1" defaultMemberUniqueName="[Append1].[Rating].[All]" allUniqueName="[Append1].[Rating].[All]" dimensionUniqueName="[Append1]" displayFolder="" count="0" memberValueDatatype="130" unbalanced="0"/>
    <cacheHierarchy uniqueName="[Append1].[Custom]" caption="Custom" attribute="1" defaultMemberUniqueName="[Append1].[Custom].[All]" allUniqueName="[Append1].[Custom].[All]" dimensionUniqueName="[Append1]" displayFolder="" count="2" memberValueDatatype="130" unbalanced="0">
      <fieldsUsage count="2">
        <fieldUsage x="-1"/>
        <fieldUsage x="2"/>
      </fieldsUsage>
    </cacheHierarchy>
    <cacheHierarchy uniqueName="[Append1].[tenure]" caption="tenure" attribute="1" defaultMemberUniqueName="[Append1].[tenure].[All]" allUniqueName="[Append1].[tenure].[All]" dimensionUniqueName="[Append1]" displayFolder="" count="0" memberValueDatatype="5" unbalanced="0"/>
    <cacheHierarchy uniqueName="[Append1].[Bonus]" caption="Bonus" attribute="1" defaultMemberUniqueName="[Append1].[Bonus].[All]" allUniqueName="[Append1].[Bonus].[All]" dimensionUniqueName="[Append1]" displayFolder="" count="0" memberValueDatatype="20" unbalanced="0"/>
    <cacheHierarchy uniqueName="[Append1].[Rating as number]" caption="Rating as number" attribute="1" defaultMemberUniqueName="[Append1].[Rating as number].[All]" allUniqueName="[Append1].[Rating as number].[All]" dimensionUniqueName="[Append1]" displayFolder="" count="0" memberValueDatatype="20" unbalanced="0"/>
    <cacheHierarchy uniqueName="[Append1].[Date joined (Year)]" caption="Date joined (Year)" attribute="1" defaultMemberUniqueName="[Append1].[Date joined (Year)].[All]" allUniqueName="[Append1].[Date joined (Year)].[All]" dimensionUniqueName="[Append1]" displayFolder="" count="0" memberValueDatatype="130" unbalanced="0"/>
    <cacheHierarchy uniqueName="[Append1].[Date joined (Quarter)]" caption="Date joined (Quarter)" attribute="1" defaultMemberUniqueName="[Append1].[Date joined (Quarter)].[All]" allUniqueName="[Append1].[Date joined (Quarter)].[All]" dimensionUniqueName="[Append1]" displayFolder="" count="0" memberValueDatatype="130" unbalanced="0"/>
    <cacheHierarchy uniqueName="[Append1].[Date joined (Month)]" caption="Date joined (Month)" attribute="1" defaultMemberUniqueName="[Append1].[Date joined (Month)].[All]" allUniqueName="[Append1].[Date joined (Month)].[All]" dimensionUniqueName="[Append1]" displayFolder="" count="0" memberValueDatatype="130" unbalanced="0"/>
    <cacheHierarchy uniqueName="[Append1].[Date joined (Month Index)]" caption="Date joined (Month Index)" attribute="1" defaultMemberUniqueName="[Append1].[Date joined (Month Index)].[All]" allUniqueName="[Append1].[Date joined (Month Index)].[All]" dimensionUniqueName="[Append1]" displayFolder="" count="0" memberValueDatatype="20" unbalanced="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Count of Name]" caption="Count of Name" measure="1" displayFolder="" measureGroup="Append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wetha Poojary" refreshedDate="45392.539118171298" backgroundQuery="1" createdVersion="8" refreshedVersion="8" minRefreshableVersion="3" recordCount="0" supportSubquery="1" supportAdvancedDrill="1" xr:uid="{9EA73402-5FEA-44E3-A2C1-6C311C6C8C52}">
  <cacheSource type="external" connectionId="5"/>
  <cacheFields count="3">
    <cacheField name="[Append1].[Department].[Department]" caption="Department" numFmtId="0" hierarchy="2" level="1">
      <sharedItems count="5">
        <s v="Finance"/>
        <s v="HR"/>
        <s v="Procurement"/>
        <s v="Sales"/>
        <s v="Website"/>
      </sharedItems>
    </cacheField>
    <cacheField name="[Measures].[Count of Name]" caption="Count of Name" numFmtId="0" hierarchy="17" level="32767"/>
    <cacheField name="[Append1].[Custom].[Custom]" caption="Custom" numFmtId="0" hierarchy="7" level="1">
      <sharedItems containsSemiMixedTypes="0" containsNonDate="0" containsString="0"/>
    </cacheField>
  </cacheFields>
  <cacheHierarchies count="18">
    <cacheHierarchy uniqueName="[Append1].[Name]" caption="Name" attribute="1" defaultMemberUniqueName="[Append1].[Name].[All]" allUniqueName="[Append1].[Name].[All]" dimensionUniqueName="[Append1]" displayFolder="" count="0" memberValueDatatype="130" unbalanced="0"/>
    <cacheHierarchy uniqueName="[Append1].[Gender]" caption="Gender" attribute="1" defaultMemberUniqueName="[Append1].[Gender].[All]" allUniqueName="[Append1].[Gender].[All]" dimensionUniqueName="[Append1]" displayFolder="" count="0" memberValueDatatype="130" unbalanced="0"/>
    <cacheHierarchy uniqueName="[Append1].[Department]" caption="Department" attribute="1" defaultMemberUniqueName="[Append1].[Department].[All]" allUniqueName="[Append1].[Department].[All]" dimensionUniqueName="[Append1]" displayFolder="" count="2" memberValueDatatype="130" unbalanced="0">
      <fieldsUsage count="2">
        <fieldUsage x="-1"/>
        <fieldUsage x="0"/>
      </fieldsUsage>
    </cacheHierarchy>
    <cacheHierarchy uniqueName="[Append1].[Age]" caption="Age" attribute="1" defaultMemberUniqueName="[Append1].[Age].[All]" allUniqueName="[Append1].[Age].[All]" dimensionUniqueName="[Append1]" displayFolder="" count="0" memberValueDatatype="20" unbalanced="0"/>
    <cacheHierarchy uniqueName="[Append1].[Date joined]" caption="Date joined" attribute="1" time="1" defaultMemberUniqueName="[Append1].[Date joined].[All]" allUniqueName="[Append1].[Date joined].[All]" dimensionUniqueName="[Append1]" displayFolder="" count="0" memberValueDatatype="7" unbalanced="0"/>
    <cacheHierarchy uniqueName="[Append1].[Salary]" caption="Salary" attribute="1" defaultMemberUniqueName="[Append1].[Salary].[All]" allUniqueName="[Append1].[Salary].[All]" dimensionUniqueName="[Append1]" displayFolder="" count="0" memberValueDatatype="20" unbalanced="0"/>
    <cacheHierarchy uniqueName="[Append1].[Rating]" caption="Rating" attribute="1" defaultMemberUniqueName="[Append1].[Rating].[All]" allUniqueName="[Append1].[Rating].[All]" dimensionUniqueName="[Append1]" displayFolder="" count="0" memberValueDatatype="130" unbalanced="0"/>
    <cacheHierarchy uniqueName="[Append1].[Custom]" caption="Custom" attribute="1" defaultMemberUniqueName="[Append1].[Custom].[All]" allUniqueName="[Append1].[Custom].[All]" dimensionUniqueName="[Append1]" displayFolder="" count="2" memberValueDatatype="130" unbalanced="0">
      <fieldsUsage count="2">
        <fieldUsage x="-1"/>
        <fieldUsage x="2"/>
      </fieldsUsage>
    </cacheHierarchy>
    <cacheHierarchy uniqueName="[Append1].[tenure]" caption="tenure" attribute="1" defaultMemberUniqueName="[Append1].[tenure].[All]" allUniqueName="[Append1].[tenure].[All]" dimensionUniqueName="[Append1]" displayFolder="" count="0" memberValueDatatype="5" unbalanced="0"/>
    <cacheHierarchy uniqueName="[Append1].[Bonus]" caption="Bonus" attribute="1" defaultMemberUniqueName="[Append1].[Bonus].[All]" allUniqueName="[Append1].[Bonus].[All]" dimensionUniqueName="[Append1]" displayFolder="" count="0" memberValueDatatype="20" unbalanced="0"/>
    <cacheHierarchy uniqueName="[Append1].[Rating as number]" caption="Rating as number" attribute="1" defaultMemberUniqueName="[Append1].[Rating as number].[All]" allUniqueName="[Append1].[Rating as number].[All]" dimensionUniqueName="[Append1]" displayFolder="" count="0" memberValueDatatype="20" unbalanced="0"/>
    <cacheHierarchy uniqueName="[Append1].[Date joined (Year)]" caption="Date joined (Year)" attribute="1" defaultMemberUniqueName="[Append1].[Date joined (Year)].[All]" allUniqueName="[Append1].[Date joined (Year)].[All]" dimensionUniqueName="[Append1]" displayFolder="" count="0" memberValueDatatype="130" unbalanced="0"/>
    <cacheHierarchy uniqueName="[Append1].[Date joined (Quarter)]" caption="Date joined (Quarter)" attribute="1" defaultMemberUniqueName="[Append1].[Date joined (Quarter)].[All]" allUniqueName="[Append1].[Date joined (Quarter)].[All]" dimensionUniqueName="[Append1]" displayFolder="" count="0" memberValueDatatype="130" unbalanced="0"/>
    <cacheHierarchy uniqueName="[Append1].[Date joined (Month)]" caption="Date joined (Month)" attribute="1" defaultMemberUniqueName="[Append1].[Date joined (Month)].[All]" allUniqueName="[Append1].[Date joined (Month)].[All]" dimensionUniqueName="[Append1]" displayFolder="" count="0" memberValueDatatype="130" unbalanced="0"/>
    <cacheHierarchy uniqueName="[Append1].[Date joined (Month Index)]" caption="Date joined (Month Index)" attribute="1" defaultMemberUniqueName="[Append1].[Date joined (Month Index)].[All]" allUniqueName="[Append1].[Date joined (Month Index)].[All]" dimensionUniqueName="[Append1]" displayFolder="" count="0" memberValueDatatype="20" unbalanced="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Count of Name]" caption="Count of Name" measure="1" displayFolder="" measureGroup="Append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name="Append1" uniqueName="[Append1]" caption="Append1"/>
    <dimension measure="1" name="Measures" uniqueName="[Measures]" caption="Measures"/>
  </dimensions>
  <measureGroups count="1">
    <measureGroup name="Append1" caption="Append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9">
  <r>
    <s v="Lindy Guillet"/>
    <x v="0"/>
    <s v="Sales"/>
    <n v="22"/>
    <d v="2021-09-07T00:00:00"/>
    <n v="112780"/>
    <x v="0"/>
    <x v="0"/>
    <n v="2.591780821917808"/>
  </r>
  <r>
    <s v="Ambros Murthwaite"/>
    <x v="0"/>
    <s v="Procurement"/>
    <n v="46"/>
    <d v="2022-07-16T00:00:00"/>
    <n v="70610"/>
    <x v="1"/>
    <x v="0"/>
    <n v="1.736986301369863"/>
  </r>
  <r>
    <s v="Tatum Hush"/>
    <x v="1"/>
    <s v="Sales"/>
    <n v="28"/>
    <d v="2021-06-10T00:00:00"/>
    <n v="53240"/>
    <x v="1"/>
    <x v="0"/>
    <n v="2.8356164383561642"/>
  </r>
  <r>
    <s v="Hoyt D'Alesco"/>
    <x v="0"/>
    <s v="Sales"/>
    <n v="32"/>
    <d v="2021-09-26T00:00:00"/>
    <n v="53540"/>
    <x v="1"/>
    <x v="0"/>
    <n v="2.5397260273972604"/>
  </r>
  <r>
    <s v="Halimeda Kuscha"/>
    <x v="1"/>
    <s v="Procurement"/>
    <n v="30"/>
    <d v="2022-10-27T00:00:00"/>
    <n v="112570"/>
    <x v="1"/>
    <x v="0"/>
    <n v="1.4547945205479451"/>
  </r>
  <r>
    <s v="Erin Androsik"/>
    <x v="0"/>
    <s v="Procurement"/>
    <n v="33"/>
    <d v="2022-05-20T00:00:00"/>
    <n v="48530"/>
    <x v="0"/>
    <x v="0"/>
    <n v="1.893150684931507"/>
  </r>
  <r>
    <s v="Vic Radolf"/>
    <x v="1"/>
    <s v="Website"/>
    <n v="24"/>
    <d v="2020-11-13T00:00:00"/>
    <n v="62780"/>
    <x v="1"/>
    <x v="0"/>
    <n v="3.408219178082192"/>
  </r>
  <r>
    <s v="William Reeveley"/>
    <x v="0"/>
    <s v="Website"/>
    <n v="33"/>
    <d v="2021-11-09T00:00:00"/>
    <n v="53870"/>
    <x v="1"/>
    <x v="0"/>
    <n v="2.419178082191781"/>
  </r>
  <r>
    <s v="Ewart Laphorn"/>
    <x v="1"/>
    <s v="HR"/>
    <n v="27"/>
    <d v="2020-10-18T00:00:00"/>
    <n v="119110"/>
    <x v="1"/>
    <x v="0"/>
    <n v="3.4794520547945207"/>
  </r>
  <r>
    <s v="Bev Lashley"/>
    <x v="0"/>
    <s v="Website"/>
    <n v="29"/>
    <d v="2020-12-15T00:00:00"/>
    <n v="112110"/>
    <x v="2"/>
    <x v="0"/>
    <n v="3.3205479452054796"/>
  </r>
  <r>
    <s v="Kath Bletsoe"/>
    <x v="0"/>
    <s v="Sales"/>
    <n v="25"/>
    <d v="2021-07-06T00:00:00"/>
    <n v="65700"/>
    <x v="1"/>
    <x v="0"/>
    <n v="2.7643835616438355"/>
  </r>
  <r>
    <s v="Murry Dryburgh"/>
    <x v="0"/>
    <s v="Website"/>
    <n v="37"/>
    <d v="2022-05-20T00:00:00"/>
    <n v="69070"/>
    <x v="1"/>
    <x v="0"/>
    <n v="1.893150684931507"/>
  </r>
  <r>
    <s v="Kaine Padly"/>
    <x v="0"/>
    <s v="Website"/>
    <n v="20"/>
    <d v="2021-09-20T00:00:00"/>
    <n v="107700"/>
    <x v="1"/>
    <x v="0"/>
    <n v="2.5561643835616437"/>
  </r>
  <r>
    <s v="Kassi Jonson"/>
    <x v="1"/>
    <s v="Website"/>
    <n v="32"/>
    <d v="2021-06-07T00:00:00"/>
    <n v="43840"/>
    <x v="0"/>
    <x v="0"/>
    <n v="2.8438356164383563"/>
  </r>
  <r>
    <s v="Simon Kembery"/>
    <x v="0"/>
    <s v="Procurement"/>
    <n v="40"/>
    <d v="2021-03-08T00:00:00"/>
    <n v="99750"/>
    <x v="1"/>
    <x v="0"/>
    <n v="3.0931506849315067"/>
  </r>
  <r>
    <s v="Orton Livick"/>
    <x v="0"/>
    <s v="Procurement"/>
    <n v="21"/>
    <d v="2020-09-30T00:00:00"/>
    <n v="37920"/>
    <x v="1"/>
    <x v="0"/>
    <n v="3.5287671232876714"/>
  </r>
  <r>
    <s v="Kelci Walkden"/>
    <x v="0"/>
    <s v="Procurement"/>
    <n v="21"/>
    <d v="2022-07-20T00:00:00"/>
    <n v="57090"/>
    <x v="1"/>
    <x v="0"/>
    <n v="1.726027397260274"/>
  </r>
  <r>
    <s v="Dotty Strutley"/>
    <x v="1"/>
    <s v="Website"/>
    <n v="31"/>
    <d v="2020-11-10T00:00:00"/>
    <n v="41980"/>
    <x v="1"/>
    <x v="0"/>
    <n v="3.4164383561643836"/>
  </r>
  <r>
    <s v="Shari McNee"/>
    <x v="0"/>
    <s v="HR"/>
    <n v="21"/>
    <d v="2021-02-15T00:00:00"/>
    <n v="75880"/>
    <x v="1"/>
    <x v="0"/>
    <n v="3.1506849315068495"/>
  </r>
  <r>
    <s v="Oby Sorrel"/>
    <x v="1"/>
    <s v="Finance"/>
    <n v="34"/>
    <d v="2022-04-02T00:00:00"/>
    <n v="58940"/>
    <x v="1"/>
    <x v="0"/>
    <n v="2.0246575342465754"/>
  </r>
  <r>
    <s v="Husein Augar"/>
    <x v="1"/>
    <s v="Finance"/>
    <n v="30"/>
    <d v="2021-07-12T00:00:00"/>
    <n v="67910"/>
    <x v="2"/>
    <x v="0"/>
    <n v="2.7479452054794522"/>
  </r>
  <r>
    <s v="Brien Boise"/>
    <x v="1"/>
    <s v="Website"/>
    <n v="31"/>
    <d v="2022-04-12T00:00:00"/>
    <n v="58100"/>
    <x v="1"/>
    <x v="0"/>
    <n v="1.9972602739726026"/>
  </r>
  <r>
    <s v="Esmaria Denecamp"/>
    <x v="0"/>
    <s v="Finance"/>
    <n v="27"/>
    <d v="2022-01-06T00:00:00"/>
    <n v="48980"/>
    <x v="1"/>
    <x v="0"/>
    <n v="2.2602739726027399"/>
  </r>
  <r>
    <s v="Barr Faughny"/>
    <x v="1"/>
    <s v="Procurement"/>
    <n v="42"/>
    <d v="2022-08-06T00:00:00"/>
    <n v="75000"/>
    <x v="3"/>
    <x v="0"/>
    <n v="1.6794520547945206"/>
  </r>
  <r>
    <s v="Merrilee Plenty"/>
    <x v="1"/>
    <s v="Website"/>
    <n v="40"/>
    <d v="2021-05-21T00:00:00"/>
    <n v="87620"/>
    <x v="1"/>
    <x v="0"/>
    <n v="2.8904109589041096"/>
  </r>
  <r>
    <s v="Niall Selesnick"/>
    <x v="1"/>
    <s v="Website"/>
    <n v="29"/>
    <d v="2020-07-11T00:00:00"/>
    <n v="34980"/>
    <x v="1"/>
    <x v="0"/>
    <n v="3.7506849315068491"/>
  </r>
  <r>
    <s v="Beverie Moffet"/>
    <x v="1"/>
    <s v="Finance"/>
    <n v="28"/>
    <d v="2020-12-20T00:00:00"/>
    <n v="75970"/>
    <x v="1"/>
    <x v="0"/>
    <n v="3.3068493150684932"/>
  </r>
  <r>
    <s v="Jehu Rudeforth"/>
    <x v="1"/>
    <s v="Finance"/>
    <n v="34"/>
    <d v="2022-02-20T00:00:00"/>
    <n v="60130"/>
    <x v="1"/>
    <x v="0"/>
    <n v="2.1369863013698631"/>
  </r>
  <r>
    <s v="Camilla Castle"/>
    <x v="1"/>
    <s v="Website"/>
    <n v="33"/>
    <d v="2021-06-27T00:00:00"/>
    <n v="75480"/>
    <x v="4"/>
    <x v="0"/>
    <n v="2.7890410958904108"/>
  </r>
  <r>
    <s v="Roddy Speechley"/>
    <x v="0"/>
    <s v="Procurement"/>
    <n v="33"/>
    <d v="2020-11-29T00:00:00"/>
    <n v="115920"/>
    <x v="1"/>
    <x v="0"/>
    <n v="3.3643835616438356"/>
  </r>
  <r>
    <s v="Gray Seamon"/>
    <x v="1"/>
    <s v="Sales"/>
    <n v="36"/>
    <d v="2021-10-25T00:00:00"/>
    <n v="78540"/>
    <x v="1"/>
    <x v="0"/>
    <n v="2.4602739726027396"/>
  </r>
  <r>
    <s v="Madelene Upcott"/>
    <x v="0"/>
    <s v="Procurement"/>
    <n v="25"/>
    <d v="2022-06-14T00:00:00"/>
    <n v="109190"/>
    <x v="0"/>
    <x v="0"/>
    <n v="1.8246575342465754"/>
  </r>
  <r>
    <s v="Violante Courtonne"/>
    <x v="1"/>
    <s v="Sales"/>
    <n v="34"/>
    <d v="2022-06-09T00:00:00"/>
    <n v="49630"/>
    <x v="2"/>
    <x v="0"/>
    <n v="1.8383561643835618"/>
  </r>
  <r>
    <s v="Bernie Gorges"/>
    <x v="1"/>
    <s v="Procurement"/>
    <n v="28"/>
    <d v="2022-03-10T00:00:00"/>
    <n v="99970"/>
    <x v="1"/>
    <x v="0"/>
    <n v="2.0876712328767124"/>
  </r>
  <r>
    <s v="Torrance Collier"/>
    <x v="1"/>
    <s v="Website"/>
    <n v="33"/>
    <d v="2020-12-25T00:00:00"/>
    <n v="96140"/>
    <x v="1"/>
    <x v="0"/>
    <n v="3.2931506849315069"/>
  </r>
  <r>
    <s v="Dyna Doucette"/>
    <x v="0"/>
    <s v="Procurement"/>
    <n v="31"/>
    <d v="2022-06-12T00:00:00"/>
    <n v="103550"/>
    <x v="1"/>
    <x v="0"/>
    <n v="1.8301369863013699"/>
  </r>
  <r>
    <s v="Gunar Cockshoot"/>
    <x v="0"/>
    <s v="Website"/>
    <n v="31"/>
    <d v="2021-11-11T00:00:00"/>
    <n v="48950"/>
    <x v="1"/>
    <x v="0"/>
    <n v="2.4136986301369863"/>
  </r>
  <r>
    <s v="Kaye Crocroft"/>
    <x v="0"/>
    <s v="Finance"/>
    <n v="24"/>
    <d v="2021-08-28T00:00:00"/>
    <n v="52610"/>
    <x v="2"/>
    <x v="0"/>
    <n v="2.6191780821917807"/>
  </r>
  <r>
    <s v="Allene Gobbet"/>
    <x v="1"/>
    <s v="Procurement"/>
    <n v="36"/>
    <d v="2021-11-29T00:00:00"/>
    <n v="78390"/>
    <x v="1"/>
    <x v="0"/>
    <n v="2.3643835616438356"/>
  </r>
  <r>
    <s v="Sibyl Dunkirk"/>
    <x v="1"/>
    <s v="Finance"/>
    <n v="33"/>
    <d v="2022-09-05T00:00:00"/>
    <n v="86570"/>
    <x v="1"/>
    <x v="0"/>
    <n v="1.5972602739726027"/>
  </r>
  <r>
    <s v="Agnes Collicott"/>
    <x v="1"/>
    <s v="Website"/>
    <n v="27"/>
    <d v="2022-05-05T00:00:00"/>
    <n v="83750"/>
    <x v="1"/>
    <x v="0"/>
    <n v="1.9342465753424658"/>
  </r>
  <r>
    <s v="Leilah Yesinin"/>
    <x v="1"/>
    <s v="Finance"/>
    <n v="34"/>
    <d v="2021-09-06T00:00:00"/>
    <n v="92450"/>
    <x v="1"/>
    <x v="0"/>
    <n v="2.5945205479452054"/>
  </r>
  <r>
    <s v="Mollie Hanway"/>
    <x v="0"/>
    <s v="Website"/>
    <n v="20"/>
    <d v="2020-12-18T00:00:00"/>
    <n v="112650"/>
    <x v="1"/>
    <x v="0"/>
    <n v="3.3123287671232875"/>
  </r>
  <r>
    <s v="Kellsie Waby"/>
    <x v="0"/>
    <s v="Procurement"/>
    <n v="20"/>
    <d v="2022-07-02T00:00:00"/>
    <n v="79570"/>
    <x v="1"/>
    <x v="0"/>
    <n v="1.7753424657534247"/>
  </r>
  <r>
    <s v="Hyacinthie Braybrooke"/>
    <x v="1"/>
    <s v="Sales"/>
    <n v="20"/>
    <d v="2021-12-07T00:00:00"/>
    <n v="68900"/>
    <x v="2"/>
    <x v="0"/>
    <n v="2.3424657534246576"/>
  </r>
  <r>
    <s v="Van Tuxwell"/>
    <x v="1"/>
    <s v="Website"/>
    <n v="25"/>
    <d v="2022-05-13T00:00:00"/>
    <n v="80700"/>
    <x v="0"/>
    <x v="0"/>
    <n v="1.9123287671232876"/>
  </r>
  <r>
    <s v="Lilyan Klimpt"/>
    <x v="0"/>
    <s v="Procurement"/>
    <n v="19"/>
    <d v="2021-03-22T00:00:00"/>
    <n v="58960"/>
    <x v="1"/>
    <x v="0"/>
    <n v="3.0547945205479454"/>
  </r>
  <r>
    <s v="Tawnya Tickel"/>
    <x v="0"/>
    <s v="Website"/>
    <n v="36"/>
    <d v="2020-07-07T00:00:00"/>
    <n v="118840"/>
    <x v="1"/>
    <x v="0"/>
    <n v="3.7616438356164386"/>
  </r>
  <r>
    <s v="Jan Morforth"/>
    <x v="0"/>
    <s v="Finance"/>
    <n v="28"/>
    <d v="2020-07-29T00:00:00"/>
    <n v="48170"/>
    <x v="0"/>
    <x v="0"/>
    <n v="3.7013698630136984"/>
  </r>
  <r>
    <s v="Florinda Crace"/>
    <x v="1"/>
    <s v="HR"/>
    <n v="32"/>
    <d v="2021-07-23T00:00:00"/>
    <n v="45510"/>
    <x v="1"/>
    <x v="0"/>
    <n v="2.7178082191780821"/>
  </r>
  <r>
    <s v="Tracy Renad"/>
    <x v="1"/>
    <s v="Procurement"/>
    <n v="36"/>
    <d v="2020-09-11T00:00:00"/>
    <n v="114890"/>
    <x v="1"/>
    <x v="0"/>
    <n v="3.580821917808219"/>
  </r>
  <r>
    <s v="Myer McCory"/>
    <x v="0"/>
    <s v="Website"/>
    <n v="30"/>
    <d v="2022-10-16T00:00:00"/>
    <n v="69710"/>
    <x v="1"/>
    <x v="0"/>
    <n v="1.484931506849315"/>
  </r>
  <r>
    <s v="Bennie Pepis"/>
    <x v="0"/>
    <s v="Finance"/>
    <n v="36"/>
    <d v="2021-05-17T00:00:00"/>
    <n v="71380"/>
    <x v="1"/>
    <x v="0"/>
    <n v="2.9013698630136986"/>
  </r>
  <r>
    <s v="Rafaelita Blaksland"/>
    <x v="1"/>
    <s v="Sales"/>
    <n v="38"/>
    <d v="2021-06-30T00:00:00"/>
    <n v="109160"/>
    <x v="3"/>
    <x v="0"/>
    <n v="2.7808219178082192"/>
  </r>
  <r>
    <s v="Mahalia Larcher"/>
    <x v="0"/>
    <s v="Procurement"/>
    <n v="27"/>
    <d v="2022-02-17T00:00:00"/>
    <n v="113280"/>
    <x v="4"/>
    <x v="0"/>
    <n v="2.1452054794520548"/>
  </r>
  <r>
    <s v="Andria Kimpton"/>
    <x v="0"/>
    <s v="Website"/>
    <n v="30"/>
    <d v="2021-03-18T00:00:00"/>
    <n v="69120"/>
    <x v="1"/>
    <x v="0"/>
    <n v="3.0657534246575344"/>
  </r>
  <r>
    <s v="Valentia Etteridge"/>
    <x v="1"/>
    <s v="HR"/>
    <n v="37"/>
    <d v="2021-09-12T00:00:00"/>
    <n v="118100"/>
    <x v="1"/>
    <x v="0"/>
    <n v="2.5780821917808221"/>
  </r>
  <r>
    <s v="Virginia McConville"/>
    <x v="1"/>
    <s v="Procurement"/>
    <n v="22"/>
    <d v="2021-09-11T00:00:00"/>
    <n v="76900"/>
    <x v="0"/>
    <x v="0"/>
    <n v="2.580821917808219"/>
  </r>
  <r>
    <s v="Wilone O'Kielt"/>
    <x v="1"/>
    <s v="Website"/>
    <n v="43"/>
    <d v="2023-04-29T00:00:00"/>
    <n v="114870"/>
    <x v="1"/>
    <x v="0"/>
    <n v="0.9506849315068493"/>
  </r>
  <r>
    <s v="Janene Hairsine"/>
    <x v="1"/>
    <s v="Procurement"/>
    <n v="28"/>
    <d v="2021-10-17T00:00:00"/>
    <n v="104770"/>
    <x v="1"/>
    <x v="0"/>
    <n v="2.4821917808219176"/>
  </r>
  <r>
    <s v="Alta Kaszper"/>
    <x v="0"/>
    <s v="Sales"/>
    <n v="27"/>
    <d v="2020-10-30T00:00:00"/>
    <n v="54970"/>
    <x v="1"/>
    <x v="0"/>
    <n v="3.4465753424657533"/>
  </r>
  <r>
    <s v="Oran Buxcy"/>
    <x v="1"/>
    <s v="Sales"/>
    <n v="38"/>
    <d v="2021-05-13T00:00:00"/>
    <n v="56870"/>
    <x v="0"/>
    <x v="0"/>
    <n v="2.9123287671232876"/>
  </r>
  <r>
    <s v="Hinda Label"/>
    <x v="1"/>
    <s v="Sales"/>
    <n v="25"/>
    <d v="2021-01-09T00:00:00"/>
    <n v="92700"/>
    <x v="1"/>
    <x v="0"/>
    <n v="3.2520547945205478"/>
  </r>
  <r>
    <s v="Marney O'Breen"/>
    <x v="1"/>
    <s v="Finance"/>
    <n v="21"/>
    <d v="2021-05-01T00:00:00"/>
    <n v="65920"/>
    <x v="1"/>
    <x v="0"/>
    <n v="2.9452054794520546"/>
  </r>
  <r>
    <s v="Dell Molloy"/>
    <x v="0"/>
    <s v="Procurement"/>
    <n v="26"/>
    <d v="2021-01-29T00:00:00"/>
    <n v="47360"/>
    <x v="1"/>
    <x v="0"/>
    <n v="3.1972602739726028"/>
  </r>
  <r>
    <s v="Mallorie Waber"/>
    <x v="0"/>
    <s v="Procurement"/>
    <n v="30"/>
    <d v="2022-04-15T00:00:00"/>
    <n v="60570"/>
    <x v="1"/>
    <x v="0"/>
    <n v="1.989041095890411"/>
  </r>
  <r>
    <s v="Cherlyn Barter"/>
    <x v="1"/>
    <s v="Procurement"/>
    <n v="28"/>
    <d v="2022-03-29T00:00:00"/>
    <n v="104120"/>
    <x v="1"/>
    <x v="0"/>
    <n v="2.0356164383561643"/>
  </r>
  <r>
    <s v="Ches Bonnell"/>
    <x v="0"/>
    <s v="Website"/>
    <n v="37"/>
    <d v="2021-05-22T00:00:00"/>
    <n v="88050"/>
    <x v="2"/>
    <x v="0"/>
    <n v="2.8876712328767122"/>
  </r>
  <r>
    <s v="Collin Jagson"/>
    <x v="0"/>
    <s v="Website"/>
    <n v="24"/>
    <d v="2022-05-05T00:00:00"/>
    <n v="100420"/>
    <x v="1"/>
    <x v="0"/>
    <n v="1.9342465753424658"/>
  </r>
  <r>
    <s v="Hogan Iles"/>
    <x v="1"/>
    <s v="Procurement"/>
    <n v="30"/>
    <d v="2022-10-16T00:00:00"/>
    <n v="114180"/>
    <x v="1"/>
    <x v="0"/>
    <n v="1.484931506849315"/>
  </r>
  <r>
    <s v="Gretchen Callow"/>
    <x v="1"/>
    <s v="Website"/>
    <n v="21"/>
    <d v="2022-04-27T00:00:00"/>
    <n v="33920"/>
    <x v="1"/>
    <x v="0"/>
    <n v="1.9561643835616438"/>
  </r>
  <r>
    <s v="Kissiah Maydway"/>
    <x v="0"/>
    <s v="Procurement"/>
    <n v="23"/>
    <d v="2021-09-01T00:00:00"/>
    <n v="106460"/>
    <x v="1"/>
    <x v="0"/>
    <n v="2.6082191780821917"/>
  </r>
  <r>
    <s v="Archibald Filliskirk"/>
    <x v="0"/>
    <s v="Procurement"/>
    <n v="35"/>
    <d v="2022-06-15T00:00:00"/>
    <n v="40400"/>
    <x v="1"/>
    <x v="0"/>
    <n v="1.821917808219178"/>
  </r>
  <r>
    <s v="Enoch Dowrey"/>
    <x v="0"/>
    <s v="Finance"/>
    <n v="27"/>
    <d v="2021-02-09T00:00:00"/>
    <n v="91650"/>
    <x v="0"/>
    <x v="0"/>
    <n v="3.1671232876712327"/>
  </r>
  <r>
    <s v="Bili Sizey"/>
    <x v="0"/>
    <s v="Sales"/>
    <n v="43"/>
    <d v="2022-02-28T00:00:00"/>
    <n v="36040"/>
    <x v="1"/>
    <x v="0"/>
    <n v="2.1150684931506851"/>
  </r>
  <r>
    <s v="Caro Chappel"/>
    <x v="1"/>
    <s v="Website"/>
    <n v="40"/>
    <d v="2021-07-04T00:00:00"/>
    <n v="104410"/>
    <x v="1"/>
    <x v="0"/>
    <n v="2.7698630136986302"/>
  </r>
  <r>
    <s v="Constantino Espley"/>
    <x v="0"/>
    <s v="Finance"/>
    <n v="30"/>
    <d v="2022-02-14T00:00:00"/>
    <n v="96800"/>
    <x v="1"/>
    <x v="0"/>
    <n v="2.1534246575342464"/>
  </r>
  <r>
    <s v="Karlen McCaffrey"/>
    <x v="1"/>
    <s v="Finance"/>
    <n v="34"/>
    <d v="2021-09-20T00:00:00"/>
    <n v="85000"/>
    <x v="1"/>
    <x v="0"/>
    <n v="2.5561643835616437"/>
  </r>
  <r>
    <s v="Drusy MacCombe"/>
    <x v="0"/>
    <s v="Sales"/>
    <n v="28"/>
    <d v="2022-09-16T00:00:00"/>
    <n v="43510"/>
    <x v="4"/>
    <x v="0"/>
    <n v="1.5671232876712329"/>
  </r>
  <r>
    <s v="My Hanscome"/>
    <x v="0"/>
    <s v="Finance"/>
    <n v="33"/>
    <d v="2021-02-16T00:00:00"/>
    <n v="59430"/>
    <x v="1"/>
    <x v="0"/>
    <n v="3.1479452054794521"/>
  </r>
  <r>
    <s v="Teressa Udden"/>
    <x v="1"/>
    <s v="Finance"/>
    <n v="33"/>
    <d v="2020-08-24T00:00:00"/>
    <n v="65360"/>
    <x v="1"/>
    <x v="0"/>
    <n v="3.6301369863013697"/>
  </r>
  <r>
    <s v="Crissie Cordel"/>
    <x v="1"/>
    <s v="Procurement"/>
    <n v="32"/>
    <d v="2022-02-19T00:00:00"/>
    <n v="41570"/>
    <x v="1"/>
    <x v="0"/>
    <n v="2.1397260273972605"/>
  </r>
  <r>
    <s v="Elia Cockton"/>
    <x v="1"/>
    <s v="Website"/>
    <n v="33"/>
    <d v="2021-04-26T00:00:00"/>
    <n v="75280"/>
    <x v="1"/>
    <x v="0"/>
    <n v="2.9589041095890409"/>
  </r>
  <r>
    <s v="Gigi Bohling"/>
    <x v="0"/>
    <s v="Sales"/>
    <n v="33"/>
    <d v="2021-07-08T00:00:00"/>
    <n v="74550"/>
    <x v="1"/>
    <x v="0"/>
    <n v="2.7589041095890412"/>
  </r>
  <r>
    <s v="Ebonee Roxburgh"/>
    <x v="0"/>
    <s v="Procurement"/>
    <n v="30"/>
    <d v="2022-05-20T00:00:00"/>
    <n v="67950"/>
    <x v="1"/>
    <x v="0"/>
    <n v="1.893150684931507"/>
  </r>
  <r>
    <s v="Shayne Stegel"/>
    <x v="0"/>
    <s v="Finance"/>
    <n v="42"/>
    <d v="2022-06-19T00:00:00"/>
    <n v="70270"/>
    <x v="2"/>
    <x v="0"/>
    <n v="1.810958904109589"/>
  </r>
  <r>
    <s v="Zach Polon"/>
    <x v="0"/>
    <s v="Procurement"/>
    <n v="26"/>
    <d v="2021-08-03T00:00:00"/>
    <n v="53540"/>
    <x v="1"/>
    <x v="0"/>
    <n v="2.6876712328767125"/>
  </r>
  <r>
    <s v="Deepali Charan"/>
    <x v="0"/>
    <s v="Website"/>
    <n v="20"/>
    <d v="2020-10-18T00:00:00"/>
    <n v="112650"/>
    <x v="1"/>
    <x v="1"/>
    <n v="3.4794520547945207"/>
  </r>
  <r>
    <s v="Yagna Sujeev"/>
    <x v="1"/>
    <s v="Website"/>
    <n v="32"/>
    <d v="2021-04-07T00:00:00"/>
    <n v="43840"/>
    <x v="0"/>
    <x v="1"/>
    <n v="3.010958904109589"/>
  </r>
  <r>
    <s v="Satyendra Venkatadri"/>
    <x v="0"/>
    <s v="Procurement"/>
    <n v="31"/>
    <d v="2022-04-12T00:00:00"/>
    <n v="103550"/>
    <x v="1"/>
    <x v="1"/>
    <n v="1.9972602739726026"/>
  </r>
  <r>
    <s v="Madhavdas Buhpathi"/>
    <x v="1"/>
    <s v="HR"/>
    <n v="32"/>
    <d v="2021-05-23T00:00:00"/>
    <n v="45510"/>
    <x v="1"/>
    <x v="1"/>
    <n v="2.8849315068493149"/>
  </r>
  <r>
    <s v="Sahila Chandrasekhar"/>
    <x v="2"/>
    <s v="Finance"/>
    <n v="37"/>
    <d v="2020-09-11T00:00:00"/>
    <n v="115440"/>
    <x v="2"/>
    <x v="1"/>
    <n v="3.580821917808219"/>
  </r>
  <r>
    <s v="Mirium Seemantini Shivakumar"/>
    <x v="1"/>
    <s v="Sales"/>
    <n v="38"/>
    <d v="2021-03-13T00:00:00"/>
    <n v="56870"/>
    <x v="0"/>
    <x v="1"/>
    <n v="3.0794520547945203"/>
  </r>
  <r>
    <s v="Purnendu Vijayarangan"/>
    <x v="1"/>
    <s v="Sales"/>
    <n v="25"/>
    <d v="2020-11-09T00:00:00"/>
    <n v="92700"/>
    <x v="1"/>
    <x v="1"/>
    <n v="3.419178082191781"/>
  </r>
  <r>
    <s v="Rukma Vinita"/>
    <x v="2"/>
    <s v="Website"/>
    <n v="32"/>
    <d v="2022-06-01T00:00:00"/>
    <n v="91310"/>
    <x v="1"/>
    <x v="1"/>
    <n v="1.8602739726027397"/>
  </r>
  <r>
    <s v="Yauvani Tarpa"/>
    <x v="0"/>
    <s v="Sales"/>
    <n v="33"/>
    <d v="2021-05-08T00:00:00"/>
    <n v="74550"/>
    <x v="1"/>
    <x v="1"/>
    <n v="2.9260273972602739"/>
  </r>
  <r>
    <s v="Damayanti Thangavadivelu"/>
    <x v="0"/>
    <s v="Procurement"/>
    <n v="25"/>
    <d v="2022-04-14T00:00:00"/>
    <n v="109190"/>
    <x v="0"/>
    <x v="1"/>
    <n v="1.9917808219178081"/>
  </r>
  <r>
    <s v="Manjusri Ruchi"/>
    <x v="1"/>
    <s v="Website"/>
    <n v="40"/>
    <d v="2021-05-04T00:00:00"/>
    <n v="104410"/>
    <x v="1"/>
    <x v="1"/>
    <n v="2.9369863013698629"/>
  </r>
  <r>
    <s v="Mithil Nadkarni"/>
    <x v="0"/>
    <s v="Finance"/>
    <n v="30"/>
    <d v="2021-12-14T00:00:00"/>
    <n v="96800"/>
    <x v="1"/>
    <x v="1"/>
    <n v="2.3232876712328765"/>
  </r>
  <r>
    <s v="Ardhendu Abhichandra Jayakar"/>
    <x v="0"/>
    <s v="Finance"/>
    <n v="28"/>
    <d v="2020-05-29T00:00:00"/>
    <n v="48170"/>
    <x v="0"/>
    <x v="1"/>
    <n v="3.8684931506849316"/>
  </r>
  <r>
    <s v="Akbar Sorabhjee"/>
    <x v="0"/>
    <s v="Procurement"/>
    <n v="21"/>
    <d v="2020-07-30T00:00:00"/>
    <n v="37920"/>
    <x v="1"/>
    <x v="1"/>
    <n v="3.6986301369863015"/>
  </r>
  <r>
    <s v="Bandhula Sathyanna"/>
    <x v="0"/>
    <s v="Procurement"/>
    <n v="34"/>
    <d v="2022-03-22T00:00:00"/>
    <n v="112650"/>
    <x v="1"/>
    <x v="1"/>
    <n v="2.0547945205479454"/>
  </r>
  <r>
    <s v="Daruka Ghazali"/>
    <x v="1"/>
    <s v="Sales"/>
    <n v="34"/>
    <d v="2022-04-09T00:00:00"/>
    <n v="49630"/>
    <x v="2"/>
    <x v="1"/>
    <n v="2.0054794520547947"/>
  </r>
  <r>
    <s v="Heer Pennathur"/>
    <x v="0"/>
    <s v="Website"/>
    <n v="36"/>
    <d v="2020-05-07T00:00:00"/>
    <n v="118840"/>
    <x v="1"/>
    <x v="1"/>
    <n v="3.9287671232876713"/>
  </r>
  <r>
    <s v="Shekhar Eswara"/>
    <x v="0"/>
    <s v="Website"/>
    <n v="30"/>
    <d v="2022-08-16T00:00:00"/>
    <n v="69710"/>
    <x v="1"/>
    <x v="1"/>
    <n v="1.6520547945205479"/>
  </r>
  <r>
    <s v="Udyan Lanka"/>
    <x v="0"/>
    <s v="Procurement"/>
    <n v="20"/>
    <d v="2022-05-02T00:00:00"/>
    <n v="79570"/>
    <x v="1"/>
    <x v="1"/>
    <n v="1.9424657534246574"/>
  </r>
  <r>
    <s v="Shreela Ramasubraman"/>
    <x v="1"/>
    <s v="Procurement"/>
    <n v="22"/>
    <d v="2021-07-11T00:00:00"/>
    <n v="76900"/>
    <x v="0"/>
    <x v="1"/>
    <n v="2.7506849315068491"/>
  </r>
  <r>
    <s v="Sanchali Shirish"/>
    <x v="0"/>
    <s v="Sales"/>
    <n v="27"/>
    <d v="2020-08-30T00:00:00"/>
    <n v="54970"/>
    <x v="1"/>
    <x v="1"/>
    <n v="3.6136986301369864"/>
  </r>
  <r>
    <s v="Gangadutt Ragha"/>
    <x v="0"/>
    <s v="Website"/>
    <n v="37"/>
    <d v="2021-03-22T00:00:00"/>
    <n v="88050"/>
    <x v="2"/>
    <x v="1"/>
    <n v="3.0547945205479454"/>
  </r>
  <r>
    <s v="Waheeda Vasuman"/>
    <x v="0"/>
    <s v="Sales"/>
    <n v="43"/>
    <d v="2021-12-28T00:00:00"/>
    <n v="36040"/>
    <x v="1"/>
    <x v="1"/>
    <n v="2.2849315068493152"/>
  </r>
  <r>
    <s v="Nanak Sapna"/>
    <x v="1"/>
    <s v="Procurement"/>
    <n v="42"/>
    <d v="2022-06-06T00:00:00"/>
    <n v="75000"/>
    <x v="3"/>
    <x v="1"/>
    <n v="1.8465753424657534"/>
  </r>
  <r>
    <s v="Shobhana Samuel"/>
    <x v="0"/>
    <s v="Procurement"/>
    <n v="35"/>
    <d v="2022-04-15T00:00:00"/>
    <n v="40400"/>
    <x v="1"/>
    <x v="1"/>
    <n v="1.989041095890411"/>
  </r>
  <r>
    <s v="Amlankusum Rajabhushan"/>
    <x v="0"/>
    <s v="Website"/>
    <n v="24"/>
    <d v="2022-03-05T00:00:00"/>
    <n v="100420"/>
    <x v="1"/>
    <x v="1"/>
    <n v="2.1013698630136988"/>
  </r>
  <r>
    <s v="Pratigya Rema"/>
    <x v="1"/>
    <s v="Website"/>
    <n v="31"/>
    <d v="2022-02-12T00:00:00"/>
    <n v="58100"/>
    <x v="1"/>
    <x v="1"/>
    <n v="2.1589041095890411"/>
  </r>
  <r>
    <s v="Ramnath Ravuri"/>
    <x v="1"/>
    <s v="Website"/>
    <n v="44"/>
    <d v="2023-02-28T00:00:00"/>
    <n v="114870"/>
    <x v="1"/>
    <x v="1"/>
    <n v="1.1150684931506849"/>
  </r>
  <r>
    <s v="Prerana Nishita"/>
    <x v="1"/>
    <s v="Procurement"/>
    <n v="32"/>
    <d v="2021-12-19T00:00:00"/>
    <n v="41570"/>
    <x v="1"/>
    <x v="1"/>
    <n v="2.3095890410958906"/>
  </r>
  <r>
    <s v="Makshi Vinutha"/>
    <x v="1"/>
    <s v="Procurement"/>
    <n v="30"/>
    <d v="2022-08-27T00:00:00"/>
    <n v="112570"/>
    <x v="1"/>
    <x v="1"/>
    <n v="1.6219178082191781"/>
  </r>
  <r>
    <s v="Shiuli Sapna"/>
    <x v="0"/>
    <s v="Procurement"/>
    <n v="26"/>
    <d v="2020-11-29T00:00:00"/>
    <n v="47360"/>
    <x v="1"/>
    <x v="1"/>
    <n v="3.3643835616438356"/>
  </r>
  <r>
    <s v="Agrata Rajarama"/>
    <x v="1"/>
    <s v="Finance"/>
    <n v="21"/>
    <d v="2021-03-01T00:00:00"/>
    <n v="65920"/>
    <x v="1"/>
    <x v="1"/>
    <n v="3.1123287671232878"/>
  </r>
  <r>
    <s v="Vasu Nandin"/>
    <x v="1"/>
    <s v="Procurement"/>
    <n v="28"/>
    <d v="2022-01-10T00:00:00"/>
    <n v="99970"/>
    <x v="1"/>
    <x v="1"/>
    <n v="2.2493150684931509"/>
  </r>
  <r>
    <s v="Bhuvan Pals"/>
    <x v="1"/>
    <s v="Website"/>
    <n v="25"/>
    <d v="2022-03-13T00:00:00"/>
    <n v="80700"/>
    <x v="0"/>
    <x v="1"/>
    <n v="2.0794520547945203"/>
  </r>
  <r>
    <s v="Gumwant Veera"/>
    <x v="0"/>
    <s v="Finance"/>
    <n v="24"/>
    <d v="2021-06-28T00:00:00"/>
    <n v="52610"/>
    <x v="2"/>
    <x v="1"/>
    <n v="2.7863013698630139"/>
  </r>
  <r>
    <s v="Narois Motiwala"/>
    <x v="0"/>
    <s v="Website"/>
    <n v="29"/>
    <d v="2020-10-15T00:00:00"/>
    <n v="112110"/>
    <x v="2"/>
    <x v="1"/>
    <n v="3.4876712328767123"/>
  </r>
  <r>
    <s v="Anjushri Chandiramani"/>
    <x v="1"/>
    <s v="HR"/>
    <n v="27"/>
    <d v="2020-08-18T00:00:00"/>
    <n v="119110"/>
    <x v="1"/>
    <x v="1"/>
    <n v="3.6465753424657534"/>
  </r>
  <r>
    <s v="Krishnakanta Vellanki"/>
    <x v="0"/>
    <s v="Sales"/>
    <n v="22"/>
    <d v="2021-07-07T00:00:00"/>
    <n v="112780"/>
    <x v="0"/>
    <x v="1"/>
    <n v="2.7616438356164386"/>
  </r>
  <r>
    <s v="Dhruv Manjunath"/>
    <x v="1"/>
    <s v="Procurement"/>
    <n v="36"/>
    <d v="2020-07-11T00:00:00"/>
    <n v="114890"/>
    <x v="1"/>
    <x v="1"/>
    <n v="3.7506849315068491"/>
  </r>
  <r>
    <s v="Vanmala Shriharsha"/>
    <x v="0"/>
    <s v="Finance"/>
    <n v="27"/>
    <d v="2021-11-06T00:00:00"/>
    <n v="48980"/>
    <x v="1"/>
    <x v="1"/>
    <n v="2.4273972602739726"/>
  </r>
  <r>
    <s v="Sameer Shashank Sapra"/>
    <x v="0"/>
    <s v="HR"/>
    <n v="21"/>
    <d v="2020-12-15T00:00:00"/>
    <n v="75880"/>
    <x v="1"/>
    <x v="1"/>
    <n v="3.3205479452054796"/>
  </r>
  <r>
    <s v="Anumati Shyamari Meherhomji"/>
    <x v="1"/>
    <s v="Sales"/>
    <n v="28"/>
    <d v="2021-04-10T00:00:00"/>
    <n v="53240"/>
    <x v="1"/>
    <x v="1"/>
    <n v="3.0027397260273974"/>
  </r>
  <r>
    <s v="Tarala Vishaal"/>
    <x v="1"/>
    <s v="Finance"/>
    <n v="34"/>
    <d v="2021-07-20T00:00:00"/>
    <n v="85000"/>
    <x v="1"/>
    <x v="1"/>
    <n v="2.7260273972602738"/>
  </r>
  <r>
    <s v="Shubhra Potla"/>
    <x v="1"/>
    <s v="Website"/>
    <n v="21"/>
    <d v="2022-02-27T00:00:00"/>
    <n v="33920"/>
    <x v="1"/>
    <x v="1"/>
    <n v="2.117808219178082"/>
  </r>
  <r>
    <s v="Hemavati Muthiah"/>
    <x v="1"/>
    <s v="Website"/>
    <n v="33"/>
    <d v="2021-02-26T00:00:00"/>
    <n v="75280"/>
    <x v="1"/>
    <x v="1"/>
    <n v="3.1205479452054794"/>
  </r>
  <r>
    <s v="Krittika Gaekwad"/>
    <x v="1"/>
    <s v="Finance"/>
    <n v="34"/>
    <d v="2022-02-02T00:00:00"/>
    <n v="58940"/>
    <x v="1"/>
    <x v="1"/>
    <n v="2.1863013698630138"/>
  </r>
  <r>
    <s v="Shevantilal Muppala"/>
    <x v="1"/>
    <s v="Procurement"/>
    <n v="28"/>
    <d v="2021-08-17T00:00:00"/>
    <n v="104770"/>
    <x v="1"/>
    <x v="1"/>
    <n v="2.6493150684931508"/>
  </r>
  <r>
    <s v="Shattesh Utpat"/>
    <x v="0"/>
    <s v="Procurement"/>
    <n v="21"/>
    <d v="2022-05-20T00:00:00"/>
    <n v="57090"/>
    <x v="1"/>
    <x v="1"/>
    <n v="1.893150684931507"/>
  </r>
  <r>
    <s v="Kamalakshi Mukundan"/>
    <x v="0"/>
    <s v="Finance"/>
    <n v="27"/>
    <d v="2020-12-09T00:00:00"/>
    <n v="91650"/>
    <x v="0"/>
    <x v="1"/>
    <n v="3.3369863013698629"/>
  </r>
  <r>
    <s v="Chandana Sannidhi Surnilla"/>
    <x v="0"/>
    <s v="Finance"/>
    <n v="42"/>
    <d v="2022-04-19T00:00:00"/>
    <n v="70270"/>
    <x v="2"/>
    <x v="1"/>
    <n v="1.978082191780822"/>
  </r>
  <r>
    <s v="Indu Varada Sumedh"/>
    <x v="1"/>
    <s v="Finance"/>
    <n v="28"/>
    <d v="2020-10-20T00:00:00"/>
    <n v="75970"/>
    <x v="1"/>
    <x v="1"/>
    <n v="3.473972602739726"/>
  </r>
  <r>
    <s v="Karuna Pashupathy"/>
    <x v="2"/>
    <s v="Website"/>
    <n v="27"/>
    <d v="2021-01-16T00:00:00"/>
    <n v="90700"/>
    <x v="0"/>
    <x v="1"/>
    <n v="3.2328767123287672"/>
  </r>
  <r>
    <s v="Mardav Ramaswami"/>
    <x v="0"/>
    <s v="Procurement"/>
    <n v="30"/>
    <d v="2022-02-15T00:00:00"/>
    <n v="60570"/>
    <x v="1"/>
    <x v="1"/>
    <n v="2.1506849315068495"/>
  </r>
  <r>
    <s v="Sarayu Ragunathan"/>
    <x v="0"/>
    <s v="Procurement"/>
    <n v="33"/>
    <d v="2020-09-29T00:00:00"/>
    <n v="115920"/>
    <x v="1"/>
    <x v="1"/>
    <n v="3.5315068493150683"/>
  </r>
  <r>
    <s v="Kevalkumar Solanki"/>
    <x v="1"/>
    <s v="Finance"/>
    <n v="33"/>
    <d v="2020-06-24T00:00:00"/>
    <n v="65360"/>
    <x v="1"/>
    <x v="1"/>
    <n v="3.7972602739726029"/>
  </r>
  <r>
    <s v="Upendra Swati"/>
    <x v="2"/>
    <s v="Finance"/>
    <n v="30"/>
    <d v="2021-12-05T00:00:00"/>
    <n v="64000"/>
    <x v="1"/>
    <x v="1"/>
    <n v="2.3479452054794518"/>
  </r>
  <r>
    <s v="Deepit Ranjana"/>
    <x v="1"/>
    <s v="Finance"/>
    <n v="34"/>
    <d v="2021-07-06T00:00:00"/>
    <n v="92450"/>
    <x v="1"/>
    <x v="1"/>
    <n v="2.7643835616438355"/>
  </r>
  <r>
    <s v="Amal Nimesh"/>
    <x v="0"/>
    <s v="Website"/>
    <n v="31"/>
    <d v="2021-09-11T00:00:00"/>
    <n v="48950"/>
    <x v="1"/>
    <x v="1"/>
    <n v="2.580821917808219"/>
  </r>
  <r>
    <s v="Kunja Prashanta Vibha"/>
    <x v="1"/>
    <s v="Website"/>
    <n v="27"/>
    <d v="2022-03-05T00:00:00"/>
    <n v="83750"/>
    <x v="1"/>
    <x v="1"/>
    <n v="2.1013698630136988"/>
  </r>
  <r>
    <s v="Godavari Veena"/>
    <x v="1"/>
    <s v="Website"/>
    <n v="40"/>
    <d v="2021-03-21T00:00:00"/>
    <n v="87620"/>
    <x v="1"/>
    <x v="1"/>
    <n v="3.0575342465753423"/>
  </r>
  <r>
    <s v="Devasree Fullara Saurin"/>
    <x v="1"/>
    <s v="Sales"/>
    <n v="20"/>
    <d v="2021-10-07T00:00:00"/>
    <n v="68900"/>
    <x v="2"/>
    <x v="1"/>
    <n v="2.5095890410958903"/>
  </r>
  <r>
    <s v="Geena Raghavanpillai"/>
    <x v="0"/>
    <s v="Sales"/>
    <n v="32"/>
    <d v="2021-07-26T00:00:00"/>
    <n v="53540"/>
    <x v="1"/>
    <x v="1"/>
    <n v="2.7095890410958905"/>
  </r>
  <r>
    <s v="Rupak Mehra"/>
    <x v="0"/>
    <s v="Sales"/>
    <n v="28"/>
    <d v="2022-07-16T00:00:00"/>
    <n v="43510"/>
    <x v="4"/>
    <x v="1"/>
    <n v="1.736986301369863"/>
  </r>
  <r>
    <s v="Sawini Chandan"/>
    <x v="1"/>
    <s v="Sales"/>
    <n v="38"/>
    <d v="2021-04-30T00:00:00"/>
    <n v="109160"/>
    <x v="3"/>
    <x v="1"/>
    <n v="2.9479452054794519"/>
  </r>
  <r>
    <s v="Baruna Ogale"/>
    <x v="0"/>
    <s v="Procurement"/>
    <n v="40"/>
    <d v="2021-01-08T00:00:00"/>
    <n v="99750"/>
    <x v="1"/>
    <x v="1"/>
    <n v="3.2547945205479452"/>
  </r>
  <r>
    <s v="Jagajeet Viraj"/>
    <x v="1"/>
    <s v="Website"/>
    <n v="31"/>
    <d v="2020-09-10T00:00:00"/>
    <n v="41980"/>
    <x v="1"/>
    <x v="1"/>
    <n v="3.5835616438356164"/>
  </r>
  <r>
    <s v="Kulbhushan Moorthy"/>
    <x v="0"/>
    <s v="Finance"/>
    <n v="36"/>
    <d v="2021-03-17T00:00:00"/>
    <n v="71380"/>
    <x v="1"/>
    <x v="1"/>
    <n v="3.0684931506849313"/>
  </r>
  <r>
    <s v="Ilesh Dasgupta"/>
    <x v="0"/>
    <s v="Procurement"/>
    <n v="27"/>
    <d v="2021-12-17T00:00:00"/>
    <n v="113280"/>
    <x v="4"/>
    <x v="1"/>
    <n v="2.3150684931506849"/>
  </r>
  <r>
    <s v="Madhumati Gazala Soumitra"/>
    <x v="1"/>
    <s v="Finance"/>
    <n v="33"/>
    <d v="2022-07-05T00:00:00"/>
    <n v="86570"/>
    <x v="1"/>
    <x v="1"/>
    <n v="1.7671232876712328"/>
  </r>
  <r>
    <s v="Chitrasen Laul"/>
    <x v="0"/>
    <s v="Procurement"/>
    <n v="26"/>
    <d v="2021-06-03T00:00:00"/>
    <n v="53540"/>
    <x v="1"/>
    <x v="1"/>
    <n v="2.8547945205479452"/>
  </r>
  <r>
    <s v="Jaishree Atasi Yavatkar"/>
    <x v="0"/>
    <s v="Website"/>
    <n v="37"/>
    <d v="2022-03-20T00:00:00"/>
    <n v="69070"/>
    <x v="1"/>
    <x v="1"/>
    <n v="2.0602739726027397"/>
  </r>
  <r>
    <s v="Kantimoy Pritish"/>
    <x v="1"/>
    <s v="Finance"/>
    <n v="30"/>
    <d v="2021-05-12T00:00:00"/>
    <n v="67910"/>
    <x v="2"/>
    <x v="1"/>
    <n v="2.9150684931506849"/>
  </r>
  <r>
    <s v="Rameshwari Chikodi"/>
    <x v="0"/>
    <s v="Website"/>
    <n v="30"/>
    <d v="2021-01-18T00:00:00"/>
    <n v="69120"/>
    <x v="1"/>
    <x v="1"/>
    <n v="3.2273972602739724"/>
  </r>
  <r>
    <s v="Lalit Kothari"/>
    <x v="1"/>
    <s v="Finance"/>
    <n v="34"/>
    <d v="2021-12-20T00:00:00"/>
    <n v="60130"/>
    <x v="1"/>
    <x v="1"/>
    <n v="2.3068493150684932"/>
  </r>
  <r>
    <s v="Sahas Sanabhi Shrikant"/>
    <x v="0"/>
    <s v="Procurement"/>
    <n v="23"/>
    <d v="2021-07-01T00:00:00"/>
    <n v="106460"/>
    <x v="1"/>
    <x v="1"/>
    <n v="2.7780821917808218"/>
  </r>
  <r>
    <s v="Kaishori Harathi Kateel"/>
    <x v="1"/>
    <s v="HR"/>
    <n v="37"/>
    <d v="2021-07-12T00:00:00"/>
    <n v="118100"/>
    <x v="1"/>
    <x v="1"/>
    <n v="2.7479452054794522"/>
  </r>
  <r>
    <s v="Rushil Kripa"/>
    <x v="1"/>
    <s v="Procurement"/>
    <n v="36"/>
    <d v="2021-09-29T00:00:00"/>
    <n v="78390"/>
    <x v="1"/>
    <x v="1"/>
    <n v="2.5315068493150683"/>
  </r>
  <r>
    <s v="Sarojini Naueshwara"/>
    <x v="1"/>
    <s v="Procurement"/>
    <n v="30"/>
    <d v="2022-08-16T00:00:00"/>
    <n v="114180"/>
    <x v="1"/>
    <x v="1"/>
    <n v="1.6520547945205479"/>
  </r>
  <r>
    <s v="Sartaj Probal"/>
    <x v="1"/>
    <s v="Procurement"/>
    <n v="28"/>
    <d v="2022-01-29T00:00:00"/>
    <n v="104120"/>
    <x v="1"/>
    <x v="1"/>
    <n v="2.1972602739726028"/>
  </r>
  <r>
    <s v="Mahindra Sreedharan"/>
    <x v="0"/>
    <s v="Procurement"/>
    <n v="30"/>
    <d v="2022-03-20T00:00:00"/>
    <n v="67950"/>
    <x v="1"/>
    <x v="1"/>
    <n v="2.0602739726027397"/>
  </r>
  <r>
    <s v="Suchira Bhanupriya Tapti"/>
    <x v="1"/>
    <s v="Website"/>
    <n v="29"/>
    <d v="2020-05-11T00:00:00"/>
    <n v="34980"/>
    <x v="1"/>
    <x v="1"/>
    <n v="3.9178082191780823"/>
  </r>
  <r>
    <s v="Fullara Sushanti Mokate"/>
    <x v="1"/>
    <s v="Website"/>
    <n v="24"/>
    <d v="2020-09-13T00:00:00"/>
    <n v="62780"/>
    <x v="1"/>
    <x v="1"/>
    <n v="3.5753424657534247"/>
  </r>
  <r>
    <s v="Hridaynath Tendulkar"/>
    <x v="0"/>
    <s v="Website"/>
    <n v="20"/>
    <d v="2021-07-20T00:00:00"/>
    <n v="107700"/>
    <x v="1"/>
    <x v="1"/>
    <n v="2.7260273972602738"/>
  </r>
  <r>
    <s v="Abhaya Priyavardhan"/>
    <x v="0"/>
    <s v="Sales"/>
    <n v="25"/>
    <d v="2021-05-06T00:00:00"/>
    <n v="65700"/>
    <x v="1"/>
    <x v="1"/>
    <n v="2.9315068493150687"/>
  </r>
  <r>
    <s v="Ayog Chakrabarti"/>
    <x v="1"/>
    <s v="Website"/>
    <n v="33"/>
    <d v="2021-04-27T00:00:00"/>
    <n v="75480"/>
    <x v="4"/>
    <x v="1"/>
    <n v="2.956164383561644"/>
  </r>
  <r>
    <s v="Pragya Nilufar"/>
    <x v="0"/>
    <s v="Website"/>
    <n v="33"/>
    <d v="2021-09-09T00:00:00"/>
    <n v="53870"/>
    <x v="1"/>
    <x v="1"/>
    <n v="2.5863013698630137"/>
  </r>
  <r>
    <s v="Shulabh Qutub Sundaramoorthy"/>
    <x v="1"/>
    <s v="Sales"/>
    <n v="36"/>
    <d v="2021-08-25T00:00:00"/>
    <n v="78540"/>
    <x v="1"/>
    <x v="1"/>
    <n v="2.6273972602739728"/>
  </r>
  <r>
    <s v="Vinanti Choudhari"/>
    <x v="0"/>
    <s v="Procurement"/>
    <n v="19"/>
    <d v="2021-01-22T00:00:00"/>
    <n v="58960"/>
    <x v="1"/>
    <x v="1"/>
    <n v="3.2164383561643834"/>
  </r>
  <r>
    <s v="Ranajay Kailashnath Richa"/>
    <x v="0"/>
    <s v="Procurement"/>
    <n v="46"/>
    <d v="2022-05-16T00:00:00"/>
    <n v="70610"/>
    <x v="1"/>
    <x v="1"/>
    <n v="1.904109589041096"/>
  </r>
  <r>
    <s v="Asija Pothireddy"/>
    <x v="0"/>
    <s v="Finance"/>
    <n v="33"/>
    <d v="2020-12-16T00:00:00"/>
    <n v="59430"/>
    <x v="1"/>
    <x v="1"/>
    <n v="3.3178082191780822"/>
  </r>
  <r>
    <s v="Piyali Mahanthapa"/>
    <x v="0"/>
    <s v="Procurement"/>
    <n v="33"/>
    <d v="2022-03-20T00:00:00"/>
    <n v="48530"/>
    <x v="0"/>
    <x v="1"/>
    <n v="2.0602739726027397"/>
  </r>
  <r>
    <s v="Sukhdev Nageshwar"/>
    <x v="1"/>
    <s v="Website"/>
    <n v="33"/>
    <d v="2020-10-25T00:00:00"/>
    <n v="96140"/>
    <x v="1"/>
    <x v="1"/>
    <n v="3.46027397260273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C95DC0-34C1-4D27-B4A7-8CF6A422AF78}" name="PivotTable1" cacheId="140" dataOnRows="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5:C10" firstHeaderRow="1" firstDataRow="2" firstDataCol="1"/>
  <pivotFields count="9">
    <pivotField dataField="1" showAll="0"/>
    <pivotField axis="axisCol" showAll="0">
      <items count="4">
        <item x="1"/>
        <item x="0"/>
        <item h="1" x="2"/>
        <item t="default"/>
      </items>
    </pivotField>
    <pivotField showAll="0"/>
    <pivotField dataField="1" showAll="0"/>
    <pivotField numFmtId="14" showAll="0"/>
    <pivotField dataField="1" numFmtId="8" showAll="0"/>
    <pivotField showAll="0"/>
    <pivotField showAll="0">
      <items count="3">
        <item x="1"/>
        <item h="1" x="0"/>
        <item t="default"/>
      </items>
    </pivotField>
    <pivotField dataField="1" numFmtId="2" showAll="0"/>
  </pivotFields>
  <rowFields count="1">
    <field x="-2"/>
  </rowFields>
  <rowItems count="4">
    <i>
      <x/>
    </i>
    <i i="1">
      <x v="1"/>
    </i>
    <i i="2">
      <x v="2"/>
    </i>
    <i i="3">
      <x v="3"/>
    </i>
  </rowItems>
  <colFields count="1">
    <field x="1"/>
  </colFields>
  <colItems count="2">
    <i>
      <x/>
    </i>
    <i>
      <x v="1"/>
    </i>
  </colItems>
  <dataFields count="4">
    <dataField name="Count of Name" fld="0" subtotal="count" baseField="0" baseItem="0"/>
    <dataField name="Average of Age" fld="3" subtotal="average" baseField="0" baseItem="0" numFmtId="2"/>
    <dataField name="Average of tenure" fld="8" subtotal="average" baseField="0" baseItem="0" numFmtId="167"/>
    <dataField name="Average of Salary" fld="5" subtotal="average"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764246-9A37-4690-AD30-19660F260CA8}" name="PivotTable2" cacheId="1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11" firstHeaderRow="0" firstDataRow="1" firstDataCol="1"/>
  <pivotFields count="9">
    <pivotField dataField="1" showAll="0"/>
    <pivotField showAll="0"/>
    <pivotField showAll="0"/>
    <pivotField showAll="0"/>
    <pivotField numFmtId="14" showAll="0"/>
    <pivotField dataField="1" numFmtId="8" showAll="0"/>
    <pivotField axis="axisRow" showAll="0">
      <items count="6">
        <item x="3"/>
        <item x="0"/>
        <item x="1"/>
        <item x="2"/>
        <item x="4"/>
        <item t="default"/>
      </items>
    </pivotField>
    <pivotField showAll="0"/>
    <pivotField numFmtId="2" showAll="0"/>
  </pivotFields>
  <rowFields count="1">
    <field x="6"/>
  </rowFields>
  <rowItems count="6">
    <i>
      <x/>
    </i>
    <i>
      <x v="1"/>
    </i>
    <i>
      <x v="2"/>
    </i>
    <i>
      <x v="3"/>
    </i>
    <i>
      <x v="4"/>
    </i>
    <i t="grand">
      <x/>
    </i>
  </rowItems>
  <colFields count="1">
    <field x="-2"/>
  </colFields>
  <colItems count="2">
    <i>
      <x/>
    </i>
    <i i="1">
      <x v="1"/>
    </i>
  </colItems>
  <dataFields count="2">
    <dataField name="Count of Name" fld="0" subtotal="count" baseField="0" baseItem="0"/>
    <dataField name="Average of Salary" fld="5" subtotal="average" baseField="0" baseItem="0" numFmtId="2"/>
  </dataFields>
  <formats count="2">
    <format dxfId="6">
      <pivotArea collapsedLevelsAreSubtotals="1" fieldPosition="0">
        <references count="2">
          <reference field="4294967294" count="1" selected="0">
            <x v="1"/>
          </reference>
          <reference field="6" count="4">
            <x v="1"/>
            <x v="2"/>
            <x v="3"/>
            <x v="4"/>
          </reference>
        </references>
      </pivotArea>
    </format>
    <format dxfId="5">
      <pivotArea outline="0" fieldPosition="0">
        <references count="1">
          <reference field="4294967294" count="1">
            <x v="1"/>
          </reference>
        </references>
      </pivotArea>
    </format>
  </formats>
  <conditionalFormats count="1">
    <conditionalFormat priority="1">
      <pivotAreas count="1">
        <pivotArea type="data" collapsedLevelsAreSubtotals="1" fieldPosition="0">
          <references count="2">
            <reference field="4294967294" count="1" selected="0">
              <x v="1"/>
            </reference>
            <reference field="6"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4FBFEF-DDBE-49FB-9AC9-BD8F5345662F}" name="PivotTable5" cacheId="1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B4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item x="1"/>
        <item x="2"/>
        <item x="3"/>
      </items>
    </pivotField>
    <pivotField dataField="1" subtotalTop="0" showAll="0" defaultSubtotal="0"/>
  </pivotFields>
  <rowFields count="2">
    <field x="1"/>
    <field x="0"/>
  </rowFields>
  <rowItems count="37">
    <i>
      <x/>
    </i>
    <i r="1">
      <x/>
    </i>
    <i r="1">
      <x v="1"/>
    </i>
    <i r="1">
      <x v="2"/>
    </i>
    <i r="1">
      <x v="3"/>
    </i>
    <i r="1">
      <x v="4"/>
    </i>
    <i r="1">
      <x v="5"/>
    </i>
    <i r="1">
      <x v="6"/>
    </i>
    <i r="1">
      <x v="7"/>
    </i>
    <i>
      <x v="1"/>
    </i>
    <i r="1">
      <x v="8"/>
    </i>
    <i r="1">
      <x v="9"/>
    </i>
    <i r="1">
      <x v="10"/>
    </i>
    <i r="1">
      <x v="11"/>
    </i>
    <i r="1">
      <x/>
    </i>
    <i r="1">
      <x v="1"/>
    </i>
    <i r="1">
      <x v="2"/>
    </i>
    <i r="1">
      <x v="3"/>
    </i>
    <i r="1">
      <x v="4"/>
    </i>
    <i r="1">
      <x v="5"/>
    </i>
    <i r="1">
      <x v="6"/>
    </i>
    <i r="1">
      <x v="7"/>
    </i>
    <i>
      <x v="2"/>
    </i>
    <i r="1">
      <x v="8"/>
    </i>
    <i r="1">
      <x v="9"/>
    </i>
    <i r="1">
      <x v="10"/>
    </i>
    <i r="1">
      <x v="11"/>
    </i>
    <i r="1">
      <x/>
    </i>
    <i r="1">
      <x v="1"/>
    </i>
    <i r="1">
      <x v="2"/>
    </i>
    <i r="1">
      <x v="3"/>
    </i>
    <i r="1">
      <x v="4"/>
    </i>
    <i r="1">
      <x v="5"/>
    </i>
    <i>
      <x v="3"/>
    </i>
    <i r="1">
      <x v="9"/>
    </i>
    <i r="1">
      <x v="11"/>
    </i>
    <i t="grand">
      <x/>
    </i>
  </rowItems>
  <colItems count="1">
    <i/>
  </colItems>
  <dataFields count="1">
    <dataField name="Count of Name" fld="2" subtotal="count" showDataAs="runTotal" baseField="0" baseItem="0"/>
  </dataFields>
  <chartFormats count="1">
    <chartFormat chart="6" format="0"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 data-Analysis and presenting.xlsx!Append1">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79C591-9ADE-4E7A-BAE0-9CED1455DEDF}" name="PivotTable8" cacheId="1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8:L11" firstHeaderRow="1" firstDataRow="1" firstDataCol="1"/>
  <pivotFields count="9">
    <pivotField dataField="1" showAll="0"/>
    <pivotField axis="axisRow" showAll="0">
      <items count="4">
        <item x="1"/>
        <item x="0"/>
        <item h="1" x="2"/>
        <item t="default"/>
      </items>
    </pivotField>
    <pivotField showAll="0"/>
    <pivotField showAll="0"/>
    <pivotField numFmtId="14" showAll="0"/>
    <pivotField numFmtId="8" showAll="0"/>
    <pivotField showAll="0"/>
    <pivotField showAll="0">
      <items count="3">
        <item h="1" x="1"/>
        <item x="0"/>
        <item t="default"/>
      </items>
    </pivotField>
    <pivotField numFmtId="2" showAll="0"/>
  </pivotFields>
  <rowFields count="1">
    <field x="1"/>
  </rowFields>
  <rowItems count="3">
    <i>
      <x/>
    </i>
    <i>
      <x v="1"/>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A202BB-7B46-4923-A3CB-2ED7D81230EE}" name="PivotTable7" cacheId="1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1:E17" firstHeaderRow="1" firstDataRow="1" firstDataCol="1" rowPageCount="1" colPageCount="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6">
    <i>
      <x v="2"/>
    </i>
    <i>
      <x v="4"/>
    </i>
    <i>
      <x/>
    </i>
    <i>
      <x v="3"/>
    </i>
    <i>
      <x v="1"/>
    </i>
    <i t="grand">
      <x/>
    </i>
  </rowItems>
  <colItems count="1">
    <i/>
  </colItems>
  <pageFields count="1">
    <pageField fld="2" hier="7" name="[Append1].[Custom].&amp;[IND]" cap="IND"/>
  </pageFields>
  <dataFields count="1">
    <dataField name="Count of Name" fld="1" subtotal="count"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 data-Analysis and presenting.xlsx!Append1">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A5BE11-2686-4140-B1E0-1ED7E68C082F}" name="PivotTable6" cacheId="1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B17" firstHeaderRow="1" firstDataRow="1" firstDataCol="1" rowPageCount="1" colPageCount="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6">
    <i>
      <x v="2"/>
    </i>
    <i>
      <x v="4"/>
    </i>
    <i>
      <x/>
    </i>
    <i>
      <x v="3"/>
    </i>
    <i>
      <x v="1"/>
    </i>
    <i t="grand">
      <x/>
    </i>
  </rowItems>
  <colItems count="1">
    <i/>
  </colItems>
  <pageFields count="1">
    <pageField fld="2" hier="7" name="[Append1].[Custom].&amp;[NZ]" cap="NZ"/>
  </pageFields>
  <dataFields count="1">
    <dataField name="Count of Name" fld="1" subtotal="count"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 data-Analysis and presenting.xlsx!Append1">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lank-data-file" connectionId="1" xr16:uid="{3E188B8B-3C00-4FCE-898B-E9E328FB7207}" autoFormatId="16" applyNumberFormats="0" applyBorderFormats="0" applyFontFormats="0" applyPatternFormats="0" applyAlignmentFormats="0" applyWidthHeightFormats="0">
  <queryTableRefresh nextId="10">
    <queryTableFields count="7">
      <queryTableField id="3" name="Employee Data" tableColumnId="3"/>
      <queryTableField id="4" name="F4" tableColumnId="4"/>
      <queryTableField id="5" name="F5" tableColumnId="5"/>
      <queryTableField id="6" name="F6" tableColumnId="6"/>
      <queryTableField id="7" name="F7" tableColumnId="7"/>
      <queryTableField id="8" name="F8" tableColumnId="8"/>
      <queryTableField id="9" name="F9" tableColumnId="9"/>
    </queryTableFields>
    <queryTableDeletedFields count="2">
      <deletedField name="F1"/>
      <deletedField name="F2"/>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D614B92-7021-4436-9F07-27B258F525C5}" autoFormatId="16" applyNumberFormats="0" applyBorderFormats="0" applyFontFormats="0" applyPatternFormats="0" applyAlignmentFormats="0" applyWidthHeightFormats="0">
  <queryTableRefresh nextId="13" unboundColumnsRight="3">
    <queryTableFields count="11">
      <queryTableField id="1" name="Name" tableColumnId="10"/>
      <queryTableField id="2" name="Gender" tableColumnId="2"/>
      <queryTableField id="3" name="Department" tableColumnId="3"/>
      <queryTableField id="4" name="Age" tableColumnId="4"/>
      <queryTableField id="5" name="Date joined" tableColumnId="5"/>
      <queryTableField id="6" name="Salary" tableColumnId="6"/>
      <queryTableField id="7" name="Rating" tableColumnId="7"/>
      <queryTableField id="8" name="Custom" tableColumnId="8"/>
      <queryTableField id="10" dataBound="0" tableColumnId="11"/>
      <queryTableField id="11" dataBound="0" tableColumnId="12"/>
      <queryTableField id="12" dataBound="0" tableColumnId="13"/>
    </queryTableFields>
    <queryTableDeletedFields count="1">
      <deletedField name="Date Joine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 xr10:uid="{9648D689-180A-4317-A400-C1BE62CF9062}" sourceName="Custom">
  <pivotTables>
    <pivotTable tabId="7" name="PivotTable1"/>
  </pivotTables>
  <data>
    <tabular pivotCacheId="429032385">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1" xr10:uid="{DA8530D8-5F64-433E-B3A9-0CCD6245E588}" sourceName="Custom">
  <pivotTables>
    <pivotTable tabId="15" name="PivotTable8"/>
  </pivotTables>
  <data>
    <tabular pivotCacheId="429032385">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 xr10:uid="{79600FB6-4FE3-468C-8F6C-6E9788EA9FC6}" cache="Slicer_Custom" caption="Custo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 1" xr10:uid="{C8949220-E276-4D15-86FB-6E42B905A344}" cache="Slicer_Custom1" caption="Custom"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C1B197-FDC5-4F40-9A9A-C5BDF53991BC}" name="NZ_Staff" displayName="NZ_Staff" ref="A1:G102" tableType="queryTable" totalsRowCount="1" headerRowDxfId="41" dataDxfId="40">
  <autoFilter ref="A1:G101" xr:uid="{CFC1B197-FDC5-4F40-9A9A-C5BDF53991BC}"/>
  <tableColumns count="7">
    <tableColumn id="3" xr3:uid="{8A8DA9F5-BC36-41EB-AA61-F177A44F7917}" uniqueName="3" name="Name" totalsRowLabel="Total" queryTableFieldId="3" dataDxfId="39" totalsRowDxfId="38"/>
    <tableColumn id="4" xr3:uid="{E80F31AB-C6D2-4E34-8E1C-109645D27969}" uniqueName="4" name="Gender" queryTableFieldId="4" dataDxfId="37" totalsRowDxfId="36"/>
    <tableColumn id="5" xr3:uid="{A4C69BA8-B96F-47F2-ACA4-C0198FC4ADE1}" uniqueName="5" name="Department" queryTableFieldId="5" dataDxfId="35" totalsRowDxfId="34"/>
    <tableColumn id="6" xr3:uid="{41FAE1C4-00D9-4F3F-8B6A-616F82015215}" uniqueName="6" name="Age" totalsRowFunction="average" queryTableFieldId="6" dataDxfId="33" totalsRowDxfId="32"/>
    <tableColumn id="7" xr3:uid="{A8239218-C2D3-4CF6-853D-9674A5AAD6C2}" uniqueName="7" name="Date joined" queryTableFieldId="7" dataDxfId="31" totalsRowDxfId="30"/>
    <tableColumn id="8" xr3:uid="{178279C1-2C46-4B06-9AA7-434FAC768C7E}" uniqueName="8" name="Salary" totalsRowFunction="average" queryTableFieldId="8" dataDxfId="29" totalsRowDxfId="28"/>
    <tableColumn id="9" xr3:uid="{CA1AAF74-C484-49D9-8544-3E4BB6B96C7C}" uniqueName="9" name="Rating" totalsRowFunction="count" queryTableFieldId="9" dataDxfId="27" totalsRowDxfId="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C662EF-4793-426D-BF53-FBD3C12898D2}" name="India_staff" displayName="India_staff" ref="A1:G114" totalsRowCount="1" headerRowDxfId="25" dataDxfId="24">
  <autoFilter ref="A1:G113" xr:uid="{3DC662EF-4793-426D-BF53-FBD3C12898D2}"/>
  <tableColumns count="7">
    <tableColumn id="1" xr3:uid="{966EB8BA-14FE-4A97-BF5A-D249CA83CC04}" name="Name" totalsRowLabel="Total" dataDxfId="23" totalsRowDxfId="22"/>
    <tableColumn id="2" xr3:uid="{D392B351-EF53-416B-B281-F0499284C43B}" name="Gender" dataDxfId="21" totalsRowDxfId="20"/>
    <tableColumn id="3" xr3:uid="{F689D841-EF4B-4B1A-AE80-F5E83AA67B26}" name="Age" dataDxfId="19" totalsRowDxfId="18"/>
    <tableColumn id="4" xr3:uid="{5CAFE6E6-FDD0-4D93-BCE6-4F7509B81A8F}" name="Rating" dataDxfId="17" totalsRowDxfId="16"/>
    <tableColumn id="5" xr3:uid="{48F0B2E5-5470-46CC-AE9F-239B652D4F3F}" name="Date Joined" dataDxfId="15" totalsRowDxfId="14"/>
    <tableColumn id="6" xr3:uid="{4A3F644D-C195-4589-99A7-F1665EB334E4}" name="Department" dataDxfId="13" totalsRowDxfId="12"/>
    <tableColumn id="7" xr3:uid="{1D9D1684-0F1F-4DAC-BE97-902CF569F09B}" name="Salary" totalsRowFunction="sum" dataDxfId="11" totalsRowDxfId="10"/>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9AD947B-C8EC-4C36-A15F-BCFA16258E91}" name="Append1" displayName="Append1" ref="A1:K180" tableType="queryTable" totalsRowShown="0">
  <autoFilter ref="A1:K180" xr:uid="{69AD947B-C8EC-4C36-A15F-BCFA16258E91}"/>
  <tableColumns count="11">
    <tableColumn id="10" xr3:uid="{EC75217B-C04C-4A95-A795-515791A50A05}" uniqueName="10" name="Name" queryTableFieldId="1"/>
    <tableColumn id="2" xr3:uid="{34B4F70E-FADD-435E-86A5-2EB9113F242A}" uniqueName="2" name="Gender" queryTableFieldId="2"/>
    <tableColumn id="3" xr3:uid="{AEE32E11-EA70-4C29-9B88-F88F5AC6DAC0}" uniqueName="3" name="Department" queryTableFieldId="3"/>
    <tableColumn id="4" xr3:uid="{F3928013-0DA4-4FD5-8D64-2124B08957DD}" uniqueName="4" name="Age" queryTableFieldId="4"/>
    <tableColumn id="5" xr3:uid="{6C51247E-EA68-40F7-8DAC-65C7755F55BB}" uniqueName="5" name="Date joined" queryTableFieldId="5" dataDxfId="8"/>
    <tableColumn id="6" xr3:uid="{711DE092-5CF0-4F6B-ABED-78D031D931D6}" uniqueName="6" name="Salary" queryTableFieldId="6" dataDxfId="7"/>
    <tableColumn id="7" xr3:uid="{76828457-CD87-4E01-8066-8AE76B5417D5}" uniqueName="7" name="Rating" queryTableFieldId="7"/>
    <tableColumn id="8" xr3:uid="{A03DD6CE-B2F8-4072-BFA6-3D4773F2B2A0}" uniqueName="8" name="Custom" queryTableFieldId="8"/>
    <tableColumn id="11" xr3:uid="{05323F88-3BB8-4EF4-BE4C-EB9F6AA86D3F}" uniqueName="11" name="tenure" queryTableFieldId="10" dataDxfId="9">
      <calculatedColumnFormula>(TODAY()-Append1[[#This Row],[Date joined]])/365</calculatedColumnFormula>
    </tableColumn>
    <tableColumn id="12" xr3:uid="{E326EED5-99DE-4E33-B2C4-1155370358CC}" uniqueName="12" name="Bonus " queryTableFieldId="11" dataDxfId="3">
      <calculatedColumnFormula>ROUND(IF(Append1[[#This Row],[tenure]]&gt;2,3%,2%)*Append1[[#This Row],[Salary]],0)</calculatedColumnFormula>
    </tableColumn>
    <tableColumn id="13" xr3:uid="{374829D2-093F-4945-A060-E292E2177405}" uniqueName="13" name="Rating as number" queryTableFieldId="12" dataDxfId="2">
      <calculatedColumnFormula>VLOOKUP(Append1[[#This Row],[Rating]],Table7[],2,0)</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B4DC8DC-09A3-43FE-B88D-A31C98D45AF9}" name="Table7" displayName="Table7" ref="A17:B22" totalsRowShown="0">
  <autoFilter ref="A17:B22" xr:uid="{7B4DC8DC-09A3-43FE-B88D-A31C98D45AF9}"/>
  <tableColumns count="2">
    <tableColumn id="1" xr3:uid="{F6DD0FAE-EC88-42AD-930F-DB0290BEAD4A}" name="rating" dataDxfId="4"/>
    <tableColumn id="2" xr3:uid="{EE5B300B-5861-4C24-8F3E-8FB0FBF4A814}"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2BA67-9B4E-4F9A-A47E-DA49658A5BF6}">
  <sheetPr>
    <tabColor theme="4" tint="0.39997558519241921"/>
  </sheetPr>
  <dimension ref="A1:G102"/>
  <sheetViews>
    <sheetView workbookViewId="0">
      <selection activeCell="B26" sqref="B26"/>
    </sheetView>
  </sheetViews>
  <sheetFormatPr defaultRowHeight="14.4" x14ac:dyDescent="0.3"/>
  <cols>
    <col min="1" max="1" width="19.6640625" bestFit="1" customWidth="1"/>
    <col min="2" max="2" width="9.33203125" bestFit="1" customWidth="1"/>
    <col min="3" max="3" width="13.33203125" bestFit="1" customWidth="1"/>
    <col min="4" max="4" width="6.44140625" bestFit="1" customWidth="1"/>
    <col min="5" max="5" width="15.6640625" customWidth="1"/>
    <col min="6" max="6" width="11.88671875" bestFit="1" customWidth="1"/>
    <col min="7" max="7" width="13.109375" bestFit="1" customWidth="1"/>
  </cols>
  <sheetData>
    <row r="1" spans="1:7" x14ac:dyDescent="0.3">
      <c r="A1" t="s">
        <v>0</v>
      </c>
      <c r="B1" t="s">
        <v>1</v>
      </c>
      <c r="C1" t="s">
        <v>2</v>
      </c>
      <c r="D1" t="s">
        <v>108</v>
      </c>
      <c r="E1" t="s">
        <v>203</v>
      </c>
      <c r="F1" t="s">
        <v>107</v>
      </c>
      <c r="G1" t="s">
        <v>3</v>
      </c>
    </row>
    <row r="2" spans="1:7" x14ac:dyDescent="0.3">
      <c r="A2" t="s">
        <v>4</v>
      </c>
      <c r="B2" t="s">
        <v>5</v>
      </c>
      <c r="C2" t="s">
        <v>6</v>
      </c>
      <c r="D2">
        <v>22</v>
      </c>
      <c r="E2" s="3">
        <v>44446</v>
      </c>
      <c r="F2" s="4">
        <v>112780</v>
      </c>
      <c r="G2" t="s">
        <v>7</v>
      </c>
    </row>
    <row r="3" spans="1:7" x14ac:dyDescent="0.3">
      <c r="A3" t="s">
        <v>8</v>
      </c>
      <c r="B3" t="s">
        <v>5</v>
      </c>
      <c r="C3" t="s">
        <v>9</v>
      </c>
      <c r="D3">
        <v>46</v>
      </c>
      <c r="E3" s="3">
        <v>44758</v>
      </c>
      <c r="F3" s="4">
        <v>70610</v>
      </c>
      <c r="G3" t="s">
        <v>10</v>
      </c>
    </row>
    <row r="4" spans="1:7" x14ac:dyDescent="0.3">
      <c r="A4" t="s">
        <v>11</v>
      </c>
      <c r="B4" t="s">
        <v>12</v>
      </c>
      <c r="C4" t="s">
        <v>6</v>
      </c>
      <c r="D4">
        <v>28</v>
      </c>
      <c r="E4" s="3">
        <v>44357</v>
      </c>
      <c r="F4" s="4">
        <v>53240</v>
      </c>
      <c r="G4" t="s">
        <v>10</v>
      </c>
    </row>
    <row r="5" spans="1:7" x14ac:dyDescent="0.3">
      <c r="A5" t="s">
        <v>13</v>
      </c>
      <c r="C5" t="s">
        <v>14</v>
      </c>
      <c r="D5">
        <v>37</v>
      </c>
      <c r="E5" s="3">
        <v>44146</v>
      </c>
      <c r="F5" s="4">
        <v>115440</v>
      </c>
      <c r="G5" t="s">
        <v>15</v>
      </c>
    </row>
    <row r="6" spans="1:7" x14ac:dyDescent="0.3">
      <c r="A6" t="s">
        <v>16</v>
      </c>
      <c r="B6" t="s">
        <v>5</v>
      </c>
      <c r="C6" t="s">
        <v>6</v>
      </c>
      <c r="D6">
        <v>32</v>
      </c>
      <c r="E6" s="3">
        <v>44465</v>
      </c>
      <c r="F6" s="4">
        <v>53540</v>
      </c>
      <c r="G6" t="s">
        <v>10</v>
      </c>
    </row>
    <row r="7" spans="1:7" x14ac:dyDescent="0.3">
      <c r="A7" t="s">
        <v>17</v>
      </c>
      <c r="B7" t="s">
        <v>12</v>
      </c>
      <c r="C7" t="s">
        <v>9</v>
      </c>
      <c r="D7">
        <v>30</v>
      </c>
      <c r="E7" s="3">
        <v>44861</v>
      </c>
      <c r="F7" s="4">
        <v>112570</v>
      </c>
      <c r="G7" t="s">
        <v>10</v>
      </c>
    </row>
    <row r="8" spans="1:7" x14ac:dyDescent="0.3">
      <c r="A8" t="s">
        <v>18</v>
      </c>
      <c r="B8" t="s">
        <v>5</v>
      </c>
      <c r="C8" t="s">
        <v>9</v>
      </c>
      <c r="D8">
        <v>33</v>
      </c>
      <c r="E8" s="3">
        <v>44701</v>
      </c>
      <c r="F8" s="4">
        <v>48530</v>
      </c>
      <c r="G8" t="s">
        <v>7</v>
      </c>
    </row>
    <row r="9" spans="1:7" x14ac:dyDescent="0.3">
      <c r="A9" t="s">
        <v>19</v>
      </c>
      <c r="B9" t="s">
        <v>12</v>
      </c>
      <c r="C9" t="s">
        <v>20</v>
      </c>
      <c r="D9">
        <v>24</v>
      </c>
      <c r="E9" s="3">
        <v>44148</v>
      </c>
      <c r="F9" s="4">
        <v>62780</v>
      </c>
      <c r="G9" t="s">
        <v>10</v>
      </c>
    </row>
    <row r="10" spans="1:7" x14ac:dyDescent="0.3">
      <c r="A10" t="s">
        <v>21</v>
      </c>
      <c r="B10" t="s">
        <v>5</v>
      </c>
      <c r="C10" t="s">
        <v>20</v>
      </c>
      <c r="D10">
        <v>33</v>
      </c>
      <c r="E10" s="3">
        <v>44509</v>
      </c>
      <c r="F10" s="4">
        <v>53870</v>
      </c>
      <c r="G10" t="s">
        <v>10</v>
      </c>
    </row>
    <row r="11" spans="1:7" x14ac:dyDescent="0.3">
      <c r="A11" t="s">
        <v>22</v>
      </c>
      <c r="B11" t="s">
        <v>12</v>
      </c>
      <c r="C11" t="s">
        <v>23</v>
      </c>
      <c r="D11">
        <v>27</v>
      </c>
      <c r="E11" s="3">
        <v>44122</v>
      </c>
      <c r="F11" s="4">
        <v>119110</v>
      </c>
      <c r="G11" t="s">
        <v>10</v>
      </c>
    </row>
    <row r="12" spans="1:7" x14ac:dyDescent="0.3">
      <c r="A12" t="s">
        <v>24</v>
      </c>
      <c r="B12" t="s">
        <v>5</v>
      </c>
      <c r="C12" t="s">
        <v>20</v>
      </c>
      <c r="D12">
        <v>29</v>
      </c>
      <c r="E12" s="3">
        <v>44180</v>
      </c>
      <c r="F12" s="4">
        <v>112110</v>
      </c>
      <c r="G12" t="s">
        <v>15</v>
      </c>
    </row>
    <row r="13" spans="1:7" x14ac:dyDescent="0.3">
      <c r="A13" t="s">
        <v>25</v>
      </c>
      <c r="B13" t="s">
        <v>5</v>
      </c>
      <c r="C13" t="s">
        <v>6</v>
      </c>
      <c r="D13">
        <v>25</v>
      </c>
      <c r="E13" s="3">
        <v>44383</v>
      </c>
      <c r="F13" s="4">
        <v>65700</v>
      </c>
      <c r="G13" t="s">
        <v>10</v>
      </c>
    </row>
    <row r="14" spans="1:7" x14ac:dyDescent="0.3">
      <c r="A14" t="s">
        <v>26</v>
      </c>
      <c r="B14" t="s">
        <v>5</v>
      </c>
      <c r="C14" t="s">
        <v>20</v>
      </c>
      <c r="D14">
        <v>37</v>
      </c>
      <c r="E14" s="3">
        <v>44701</v>
      </c>
      <c r="F14" s="4">
        <v>69070</v>
      </c>
      <c r="G14" t="s">
        <v>10</v>
      </c>
    </row>
    <row r="15" spans="1:7" x14ac:dyDescent="0.3">
      <c r="A15" t="s">
        <v>27</v>
      </c>
      <c r="B15" t="s">
        <v>5</v>
      </c>
      <c r="C15" t="s">
        <v>20</v>
      </c>
      <c r="D15">
        <v>20</v>
      </c>
      <c r="E15" s="3">
        <v>44459</v>
      </c>
      <c r="F15" s="4">
        <v>107700</v>
      </c>
      <c r="G15" t="s">
        <v>10</v>
      </c>
    </row>
    <row r="16" spans="1:7" x14ac:dyDescent="0.3">
      <c r="A16" t="s">
        <v>28</v>
      </c>
      <c r="B16" t="s">
        <v>12</v>
      </c>
      <c r="C16" t="s">
        <v>20</v>
      </c>
      <c r="D16">
        <v>32</v>
      </c>
      <c r="E16" s="3">
        <v>44354</v>
      </c>
      <c r="F16" s="4">
        <v>43840</v>
      </c>
      <c r="G16" t="s">
        <v>7</v>
      </c>
    </row>
    <row r="17" spans="1:7" x14ac:dyDescent="0.3">
      <c r="A17" t="s">
        <v>29</v>
      </c>
      <c r="B17" t="s">
        <v>5</v>
      </c>
      <c r="C17" t="s">
        <v>9</v>
      </c>
      <c r="D17">
        <v>40</v>
      </c>
      <c r="E17" s="3">
        <v>44263</v>
      </c>
      <c r="F17" s="4">
        <v>99750</v>
      </c>
      <c r="G17" t="s">
        <v>10</v>
      </c>
    </row>
    <row r="18" spans="1:7" x14ac:dyDescent="0.3">
      <c r="A18" t="s">
        <v>30</v>
      </c>
      <c r="B18" t="s">
        <v>5</v>
      </c>
      <c r="C18" t="s">
        <v>9</v>
      </c>
      <c r="D18">
        <v>21</v>
      </c>
      <c r="E18" s="3">
        <v>44104</v>
      </c>
      <c r="F18" s="4">
        <v>37920</v>
      </c>
      <c r="G18" t="s">
        <v>10</v>
      </c>
    </row>
    <row r="19" spans="1:7" x14ac:dyDescent="0.3">
      <c r="A19" t="s">
        <v>31</v>
      </c>
      <c r="B19" t="s">
        <v>5</v>
      </c>
      <c r="C19" t="s">
        <v>9</v>
      </c>
      <c r="D19">
        <v>21</v>
      </c>
      <c r="E19" s="3">
        <v>44762</v>
      </c>
      <c r="F19" s="4">
        <v>57090</v>
      </c>
      <c r="G19" t="s">
        <v>10</v>
      </c>
    </row>
    <row r="20" spans="1:7" x14ac:dyDescent="0.3">
      <c r="A20" t="s">
        <v>32</v>
      </c>
      <c r="B20" t="s">
        <v>12</v>
      </c>
      <c r="C20" t="s">
        <v>20</v>
      </c>
      <c r="D20">
        <v>31</v>
      </c>
      <c r="E20" s="3">
        <v>44145</v>
      </c>
      <c r="F20" s="4">
        <v>41980</v>
      </c>
      <c r="G20" t="s">
        <v>10</v>
      </c>
    </row>
    <row r="21" spans="1:7" x14ac:dyDescent="0.3">
      <c r="A21" t="s">
        <v>33</v>
      </c>
      <c r="B21" t="s">
        <v>5</v>
      </c>
      <c r="C21" t="s">
        <v>23</v>
      </c>
      <c r="D21">
        <v>21</v>
      </c>
      <c r="E21" s="3">
        <v>44242</v>
      </c>
      <c r="F21" s="4">
        <v>75880</v>
      </c>
      <c r="G21" t="s">
        <v>10</v>
      </c>
    </row>
    <row r="22" spans="1:7" x14ac:dyDescent="0.3">
      <c r="A22" t="s">
        <v>34</v>
      </c>
      <c r="B22" t="s">
        <v>12</v>
      </c>
      <c r="C22" t="s">
        <v>14</v>
      </c>
      <c r="D22">
        <v>34</v>
      </c>
      <c r="E22" s="3">
        <v>44653</v>
      </c>
      <c r="F22" s="4">
        <v>58940</v>
      </c>
      <c r="G22" t="s">
        <v>10</v>
      </c>
    </row>
    <row r="23" spans="1:7" x14ac:dyDescent="0.3">
      <c r="A23" t="s">
        <v>35</v>
      </c>
      <c r="B23" t="s">
        <v>12</v>
      </c>
      <c r="C23" t="s">
        <v>14</v>
      </c>
      <c r="D23">
        <v>30</v>
      </c>
      <c r="E23" s="3">
        <v>44389</v>
      </c>
      <c r="F23" s="4">
        <v>67910</v>
      </c>
      <c r="G23" t="s">
        <v>15</v>
      </c>
    </row>
    <row r="24" spans="1:7" x14ac:dyDescent="0.3">
      <c r="A24" t="s">
        <v>36</v>
      </c>
      <c r="B24" t="s">
        <v>12</v>
      </c>
      <c r="C24" t="s">
        <v>20</v>
      </c>
      <c r="D24">
        <v>31</v>
      </c>
      <c r="E24" s="3">
        <v>44663</v>
      </c>
      <c r="F24" s="4">
        <v>58100</v>
      </c>
      <c r="G24" t="s">
        <v>10</v>
      </c>
    </row>
    <row r="25" spans="1:7" x14ac:dyDescent="0.3">
      <c r="A25" t="s">
        <v>37</v>
      </c>
      <c r="B25" t="s">
        <v>5</v>
      </c>
      <c r="C25" t="s">
        <v>14</v>
      </c>
      <c r="D25">
        <v>27</v>
      </c>
      <c r="E25" s="3">
        <v>44567</v>
      </c>
      <c r="F25" s="4">
        <v>48980</v>
      </c>
      <c r="G25" t="s">
        <v>10</v>
      </c>
    </row>
    <row r="26" spans="1:7" x14ac:dyDescent="0.3">
      <c r="A26" t="s">
        <v>38</v>
      </c>
      <c r="C26" t="s">
        <v>14</v>
      </c>
      <c r="D26">
        <v>30</v>
      </c>
      <c r="E26" s="3">
        <v>44597</v>
      </c>
      <c r="F26" s="4">
        <v>64000</v>
      </c>
      <c r="G26" t="s">
        <v>10</v>
      </c>
    </row>
    <row r="27" spans="1:7" x14ac:dyDescent="0.3">
      <c r="A27" t="s">
        <v>39</v>
      </c>
      <c r="B27" t="s">
        <v>12</v>
      </c>
      <c r="C27" t="s">
        <v>9</v>
      </c>
      <c r="D27">
        <v>42</v>
      </c>
      <c r="E27" s="3">
        <v>44779</v>
      </c>
      <c r="F27" s="4">
        <v>75000</v>
      </c>
      <c r="G27" t="s">
        <v>40</v>
      </c>
    </row>
    <row r="28" spans="1:7" x14ac:dyDescent="0.3">
      <c r="A28" t="s">
        <v>41</v>
      </c>
      <c r="B28" t="s">
        <v>12</v>
      </c>
      <c r="C28" t="s">
        <v>20</v>
      </c>
      <c r="D28">
        <v>40</v>
      </c>
      <c r="E28" s="3">
        <v>44337</v>
      </c>
      <c r="F28" s="4">
        <v>87620</v>
      </c>
      <c r="G28" t="s">
        <v>10</v>
      </c>
    </row>
    <row r="29" spans="1:7" x14ac:dyDescent="0.3">
      <c r="A29" t="s">
        <v>42</v>
      </c>
      <c r="B29" t="s">
        <v>12</v>
      </c>
      <c r="C29" t="s">
        <v>20</v>
      </c>
      <c r="D29">
        <v>29</v>
      </c>
      <c r="E29" s="3">
        <v>44023</v>
      </c>
      <c r="F29" s="4">
        <v>34980</v>
      </c>
      <c r="G29" t="s">
        <v>10</v>
      </c>
    </row>
    <row r="30" spans="1:7" x14ac:dyDescent="0.3">
      <c r="A30" t="s">
        <v>43</v>
      </c>
      <c r="B30" t="s">
        <v>12</v>
      </c>
      <c r="C30" t="s">
        <v>14</v>
      </c>
      <c r="D30">
        <v>28</v>
      </c>
      <c r="E30" s="3">
        <v>44185</v>
      </c>
      <c r="F30" s="4">
        <v>75970</v>
      </c>
      <c r="G30" t="s">
        <v>10</v>
      </c>
    </row>
    <row r="31" spans="1:7" x14ac:dyDescent="0.3">
      <c r="A31" t="s">
        <v>44</v>
      </c>
      <c r="B31" t="s">
        <v>12</v>
      </c>
      <c r="C31" t="s">
        <v>14</v>
      </c>
      <c r="D31">
        <v>34</v>
      </c>
      <c r="E31" s="3">
        <v>44612</v>
      </c>
      <c r="F31" s="4">
        <v>60130</v>
      </c>
      <c r="G31" t="s">
        <v>10</v>
      </c>
    </row>
    <row r="32" spans="1:7" x14ac:dyDescent="0.3">
      <c r="A32" t="s">
        <v>45</v>
      </c>
      <c r="B32" t="s">
        <v>12</v>
      </c>
      <c r="C32" t="s">
        <v>20</v>
      </c>
      <c r="D32">
        <v>33</v>
      </c>
      <c r="E32" s="3">
        <v>44374</v>
      </c>
      <c r="F32" s="4">
        <v>75480</v>
      </c>
      <c r="G32" t="s">
        <v>46</v>
      </c>
    </row>
    <row r="33" spans="1:7" x14ac:dyDescent="0.3">
      <c r="A33" t="s">
        <v>47</v>
      </c>
      <c r="B33" t="s">
        <v>5</v>
      </c>
      <c r="C33" t="s">
        <v>9</v>
      </c>
      <c r="D33">
        <v>33</v>
      </c>
      <c r="E33" s="3">
        <v>44164</v>
      </c>
      <c r="F33" s="4">
        <v>115920</v>
      </c>
      <c r="G33" t="s">
        <v>10</v>
      </c>
    </row>
    <row r="34" spans="1:7" x14ac:dyDescent="0.3">
      <c r="A34" t="s">
        <v>48</v>
      </c>
      <c r="B34" t="s">
        <v>12</v>
      </c>
      <c r="C34" t="s">
        <v>6</v>
      </c>
      <c r="D34">
        <v>36</v>
      </c>
      <c r="E34" s="3">
        <v>44494</v>
      </c>
      <c r="F34" s="4">
        <v>78540</v>
      </c>
      <c r="G34" t="s">
        <v>10</v>
      </c>
    </row>
    <row r="35" spans="1:7" x14ac:dyDescent="0.3">
      <c r="A35" t="s">
        <v>49</v>
      </c>
      <c r="B35" t="s">
        <v>5</v>
      </c>
      <c r="C35" t="s">
        <v>9</v>
      </c>
      <c r="D35">
        <v>25</v>
      </c>
      <c r="E35" s="3">
        <v>44726</v>
      </c>
      <c r="F35" s="4">
        <v>109190</v>
      </c>
      <c r="G35" t="s">
        <v>7</v>
      </c>
    </row>
    <row r="36" spans="1:7" x14ac:dyDescent="0.3">
      <c r="A36" t="s">
        <v>50</v>
      </c>
      <c r="B36" t="s">
        <v>12</v>
      </c>
      <c r="C36" t="s">
        <v>6</v>
      </c>
      <c r="D36">
        <v>34</v>
      </c>
      <c r="E36" s="3">
        <v>44721</v>
      </c>
      <c r="F36" s="4">
        <v>49630</v>
      </c>
      <c r="G36" t="s">
        <v>15</v>
      </c>
    </row>
    <row r="37" spans="1:7" x14ac:dyDescent="0.3">
      <c r="A37" t="s">
        <v>51</v>
      </c>
      <c r="B37" t="s">
        <v>12</v>
      </c>
      <c r="C37" t="s">
        <v>9</v>
      </c>
      <c r="D37">
        <v>28</v>
      </c>
      <c r="E37" s="3">
        <v>44630</v>
      </c>
      <c r="F37" s="4">
        <v>99970</v>
      </c>
      <c r="G37" t="s">
        <v>10</v>
      </c>
    </row>
    <row r="38" spans="1:7" x14ac:dyDescent="0.3">
      <c r="A38" t="s">
        <v>52</v>
      </c>
      <c r="B38" t="s">
        <v>12</v>
      </c>
      <c r="C38" t="s">
        <v>20</v>
      </c>
      <c r="D38">
        <v>33</v>
      </c>
      <c r="E38" s="3">
        <v>44190</v>
      </c>
      <c r="F38" s="4">
        <v>96140</v>
      </c>
      <c r="G38" t="s">
        <v>10</v>
      </c>
    </row>
    <row r="39" spans="1:7" x14ac:dyDescent="0.3">
      <c r="A39" t="s">
        <v>53</v>
      </c>
      <c r="B39" t="s">
        <v>5</v>
      </c>
      <c r="C39" t="s">
        <v>9</v>
      </c>
      <c r="D39">
        <v>31</v>
      </c>
      <c r="E39" s="3">
        <v>44724</v>
      </c>
      <c r="F39" s="4">
        <v>103550</v>
      </c>
      <c r="G39" t="s">
        <v>10</v>
      </c>
    </row>
    <row r="40" spans="1:7" x14ac:dyDescent="0.3">
      <c r="A40" t="s">
        <v>54</v>
      </c>
      <c r="B40" t="s">
        <v>5</v>
      </c>
      <c r="C40" t="s">
        <v>20</v>
      </c>
      <c r="D40">
        <v>31</v>
      </c>
      <c r="E40" s="3">
        <v>44511</v>
      </c>
      <c r="F40" s="4">
        <v>48950</v>
      </c>
      <c r="G40" t="s">
        <v>10</v>
      </c>
    </row>
    <row r="41" spans="1:7" x14ac:dyDescent="0.3">
      <c r="A41" t="s">
        <v>55</v>
      </c>
      <c r="B41" t="s">
        <v>5</v>
      </c>
      <c r="C41" t="s">
        <v>14</v>
      </c>
      <c r="D41">
        <v>24</v>
      </c>
      <c r="E41" s="3">
        <v>44436</v>
      </c>
      <c r="F41" s="4">
        <v>52610</v>
      </c>
      <c r="G41" t="s">
        <v>15</v>
      </c>
    </row>
    <row r="42" spans="1:7" x14ac:dyDescent="0.3">
      <c r="A42" t="s">
        <v>56</v>
      </c>
      <c r="B42" t="s">
        <v>12</v>
      </c>
      <c r="C42" t="s">
        <v>9</v>
      </c>
      <c r="D42">
        <v>36</v>
      </c>
      <c r="E42" s="3">
        <v>44529</v>
      </c>
      <c r="F42" s="4">
        <v>78390</v>
      </c>
      <c r="G42" t="s">
        <v>10</v>
      </c>
    </row>
    <row r="43" spans="1:7" x14ac:dyDescent="0.3">
      <c r="A43" t="s">
        <v>57</v>
      </c>
      <c r="B43" t="s">
        <v>12</v>
      </c>
      <c r="C43" t="s">
        <v>14</v>
      </c>
      <c r="D43">
        <v>33</v>
      </c>
      <c r="E43" s="3">
        <v>44809</v>
      </c>
      <c r="F43" s="4">
        <v>86570</v>
      </c>
      <c r="G43" t="s">
        <v>10</v>
      </c>
    </row>
    <row r="44" spans="1:7" x14ac:dyDescent="0.3">
      <c r="A44" t="s">
        <v>58</v>
      </c>
      <c r="B44" t="s">
        <v>12</v>
      </c>
      <c r="C44" t="s">
        <v>20</v>
      </c>
      <c r="D44">
        <v>27</v>
      </c>
      <c r="E44" s="3">
        <v>44686</v>
      </c>
      <c r="F44" s="4">
        <v>83750</v>
      </c>
      <c r="G44" t="s">
        <v>10</v>
      </c>
    </row>
    <row r="45" spans="1:7" x14ac:dyDescent="0.3">
      <c r="A45" t="s">
        <v>59</v>
      </c>
      <c r="B45" t="s">
        <v>12</v>
      </c>
      <c r="C45" t="s">
        <v>14</v>
      </c>
      <c r="D45">
        <v>34</v>
      </c>
      <c r="E45" s="3">
        <v>44445</v>
      </c>
      <c r="F45" s="4">
        <v>92450</v>
      </c>
      <c r="G45" t="s">
        <v>10</v>
      </c>
    </row>
    <row r="46" spans="1:7" x14ac:dyDescent="0.3">
      <c r="A46" t="s">
        <v>60</v>
      </c>
      <c r="B46" t="s">
        <v>5</v>
      </c>
      <c r="C46" t="s">
        <v>20</v>
      </c>
      <c r="D46">
        <v>20</v>
      </c>
      <c r="E46" s="3">
        <v>44183</v>
      </c>
      <c r="F46" s="4">
        <v>112650</v>
      </c>
      <c r="G46" t="s">
        <v>10</v>
      </c>
    </row>
    <row r="47" spans="1:7" x14ac:dyDescent="0.3">
      <c r="A47" t="s">
        <v>61</v>
      </c>
      <c r="B47" t="s">
        <v>5</v>
      </c>
      <c r="C47" t="s">
        <v>9</v>
      </c>
      <c r="D47">
        <v>20</v>
      </c>
      <c r="E47" s="3">
        <v>44744</v>
      </c>
      <c r="F47" s="4">
        <v>79570</v>
      </c>
      <c r="G47" t="s">
        <v>10</v>
      </c>
    </row>
    <row r="48" spans="1:7" x14ac:dyDescent="0.3">
      <c r="A48" t="s">
        <v>62</v>
      </c>
      <c r="B48" t="s">
        <v>12</v>
      </c>
      <c r="C48" t="s">
        <v>6</v>
      </c>
      <c r="D48">
        <v>20</v>
      </c>
      <c r="E48" s="3">
        <v>44537</v>
      </c>
      <c r="F48" s="4">
        <v>68900</v>
      </c>
      <c r="G48" t="s">
        <v>15</v>
      </c>
    </row>
    <row r="49" spans="1:7" x14ac:dyDescent="0.3">
      <c r="A49" t="s">
        <v>63</v>
      </c>
      <c r="B49" t="s">
        <v>12</v>
      </c>
      <c r="C49" t="s">
        <v>20</v>
      </c>
      <c r="D49">
        <v>25</v>
      </c>
      <c r="E49" s="3">
        <v>44694</v>
      </c>
      <c r="F49" s="4">
        <v>80700</v>
      </c>
      <c r="G49" t="s">
        <v>7</v>
      </c>
    </row>
    <row r="50" spans="1:7" x14ac:dyDescent="0.3">
      <c r="A50" t="s">
        <v>64</v>
      </c>
      <c r="B50" t="s">
        <v>5</v>
      </c>
      <c r="C50" t="s">
        <v>9</v>
      </c>
      <c r="D50">
        <v>19</v>
      </c>
      <c r="E50" s="3">
        <v>44277</v>
      </c>
      <c r="F50" s="4">
        <v>58960</v>
      </c>
      <c r="G50" t="s">
        <v>10</v>
      </c>
    </row>
    <row r="51" spans="1:7" x14ac:dyDescent="0.3">
      <c r="A51" t="s">
        <v>65</v>
      </c>
      <c r="B51" t="s">
        <v>5</v>
      </c>
      <c r="C51" t="s">
        <v>20</v>
      </c>
      <c r="D51">
        <v>36</v>
      </c>
      <c r="E51" s="3">
        <v>44019</v>
      </c>
      <c r="F51" s="4">
        <v>118840</v>
      </c>
      <c r="G51" t="s">
        <v>10</v>
      </c>
    </row>
    <row r="52" spans="1:7" x14ac:dyDescent="0.3">
      <c r="A52" t="s">
        <v>66</v>
      </c>
      <c r="B52" t="s">
        <v>5</v>
      </c>
      <c r="C52" t="s">
        <v>14</v>
      </c>
      <c r="D52">
        <v>28</v>
      </c>
      <c r="E52" s="3">
        <v>44041</v>
      </c>
      <c r="F52" s="4">
        <v>48170</v>
      </c>
      <c r="G52" t="s">
        <v>7</v>
      </c>
    </row>
    <row r="53" spans="1:7" x14ac:dyDescent="0.3">
      <c r="A53" t="s">
        <v>67</v>
      </c>
      <c r="B53" t="s">
        <v>12</v>
      </c>
      <c r="C53" t="s">
        <v>23</v>
      </c>
      <c r="D53">
        <v>32</v>
      </c>
      <c r="E53" s="3">
        <v>44400</v>
      </c>
      <c r="F53" s="4">
        <v>45510</v>
      </c>
      <c r="G53" t="s">
        <v>10</v>
      </c>
    </row>
    <row r="54" spans="1:7" x14ac:dyDescent="0.3">
      <c r="A54" t="s">
        <v>60</v>
      </c>
      <c r="B54" t="s">
        <v>5</v>
      </c>
      <c r="C54" t="s">
        <v>9</v>
      </c>
      <c r="D54">
        <v>34</v>
      </c>
      <c r="E54" s="3">
        <v>44703</v>
      </c>
      <c r="F54" s="4">
        <v>112650</v>
      </c>
      <c r="G54" t="s">
        <v>10</v>
      </c>
    </row>
    <row r="55" spans="1:7" x14ac:dyDescent="0.3">
      <c r="A55" t="s">
        <v>68</v>
      </c>
      <c r="B55" t="s">
        <v>12</v>
      </c>
      <c r="C55" t="s">
        <v>9</v>
      </c>
      <c r="D55">
        <v>36</v>
      </c>
      <c r="E55" s="3">
        <v>44085</v>
      </c>
      <c r="F55" s="4">
        <v>114890</v>
      </c>
      <c r="G55" t="s">
        <v>10</v>
      </c>
    </row>
    <row r="56" spans="1:7" x14ac:dyDescent="0.3">
      <c r="A56" t="s">
        <v>69</v>
      </c>
      <c r="B56" t="s">
        <v>5</v>
      </c>
      <c r="C56" t="s">
        <v>20</v>
      </c>
      <c r="D56">
        <v>30</v>
      </c>
      <c r="E56" s="3">
        <v>44850</v>
      </c>
      <c r="F56" s="4">
        <v>69710</v>
      </c>
      <c r="G56" t="s">
        <v>10</v>
      </c>
    </row>
    <row r="57" spans="1:7" x14ac:dyDescent="0.3">
      <c r="A57" t="s">
        <v>70</v>
      </c>
      <c r="B57" t="s">
        <v>5</v>
      </c>
      <c r="C57" t="s">
        <v>14</v>
      </c>
      <c r="D57">
        <v>36</v>
      </c>
      <c r="E57" s="3">
        <v>44333</v>
      </c>
      <c r="F57" s="4">
        <v>71380</v>
      </c>
      <c r="G57" t="s">
        <v>10</v>
      </c>
    </row>
    <row r="58" spans="1:7" x14ac:dyDescent="0.3">
      <c r="A58" t="s">
        <v>71</v>
      </c>
      <c r="B58" t="s">
        <v>12</v>
      </c>
      <c r="C58" t="s">
        <v>6</v>
      </c>
      <c r="D58">
        <v>38</v>
      </c>
      <c r="E58" s="3">
        <v>44377</v>
      </c>
      <c r="F58" s="4">
        <v>109160</v>
      </c>
      <c r="G58" t="s">
        <v>40</v>
      </c>
    </row>
    <row r="59" spans="1:7" x14ac:dyDescent="0.3">
      <c r="A59" t="s">
        <v>72</v>
      </c>
      <c r="B59" t="s">
        <v>5</v>
      </c>
      <c r="C59" t="s">
        <v>9</v>
      </c>
      <c r="D59">
        <v>27</v>
      </c>
      <c r="E59" s="3">
        <v>44609</v>
      </c>
      <c r="F59" s="4">
        <v>113280</v>
      </c>
      <c r="G59" t="s">
        <v>46</v>
      </c>
    </row>
    <row r="60" spans="1:7" x14ac:dyDescent="0.3">
      <c r="A60" t="s">
        <v>73</v>
      </c>
      <c r="B60" t="s">
        <v>5</v>
      </c>
      <c r="C60" t="s">
        <v>20</v>
      </c>
      <c r="D60">
        <v>30</v>
      </c>
      <c r="E60" s="3">
        <v>44273</v>
      </c>
      <c r="F60" s="4">
        <v>69120</v>
      </c>
      <c r="G60" t="s">
        <v>10</v>
      </c>
    </row>
    <row r="61" spans="1:7" x14ac:dyDescent="0.3">
      <c r="A61" t="s">
        <v>74</v>
      </c>
      <c r="B61" t="s">
        <v>12</v>
      </c>
      <c r="C61" t="s">
        <v>23</v>
      </c>
      <c r="D61">
        <v>37</v>
      </c>
      <c r="E61" s="3">
        <v>44451</v>
      </c>
      <c r="F61" s="4">
        <v>118100</v>
      </c>
      <c r="G61" t="s">
        <v>10</v>
      </c>
    </row>
    <row r="62" spans="1:7" x14ac:dyDescent="0.3">
      <c r="A62" t="s">
        <v>75</v>
      </c>
      <c r="B62" t="s">
        <v>12</v>
      </c>
      <c r="C62" t="s">
        <v>9</v>
      </c>
      <c r="D62">
        <v>22</v>
      </c>
      <c r="E62" s="3">
        <v>44450</v>
      </c>
      <c r="F62" s="4">
        <v>76900</v>
      </c>
      <c r="G62" t="s">
        <v>7</v>
      </c>
    </row>
    <row r="63" spans="1:7" x14ac:dyDescent="0.3">
      <c r="A63" t="s">
        <v>76</v>
      </c>
      <c r="B63" t="s">
        <v>12</v>
      </c>
      <c r="C63" t="s">
        <v>20</v>
      </c>
      <c r="D63">
        <v>43</v>
      </c>
      <c r="E63" s="3">
        <v>45045</v>
      </c>
      <c r="F63" s="4">
        <v>114870</v>
      </c>
      <c r="G63" t="s">
        <v>10</v>
      </c>
    </row>
    <row r="64" spans="1:7" x14ac:dyDescent="0.3">
      <c r="A64" t="s">
        <v>77</v>
      </c>
      <c r="C64" t="s">
        <v>20</v>
      </c>
      <c r="D64">
        <v>32</v>
      </c>
      <c r="E64" s="3">
        <v>44774</v>
      </c>
      <c r="F64" s="4">
        <v>91310</v>
      </c>
      <c r="G64" t="s">
        <v>10</v>
      </c>
    </row>
    <row r="65" spans="1:7" x14ac:dyDescent="0.3">
      <c r="A65" t="s">
        <v>78</v>
      </c>
      <c r="B65" t="s">
        <v>12</v>
      </c>
      <c r="C65" t="s">
        <v>9</v>
      </c>
      <c r="D65">
        <v>28</v>
      </c>
      <c r="E65" s="3">
        <v>44486</v>
      </c>
      <c r="F65" s="4">
        <v>104770</v>
      </c>
      <c r="G65" t="s">
        <v>10</v>
      </c>
    </row>
    <row r="66" spans="1:7" x14ac:dyDescent="0.3">
      <c r="A66" t="s">
        <v>79</v>
      </c>
      <c r="B66" t="s">
        <v>5</v>
      </c>
      <c r="C66" t="s">
        <v>6</v>
      </c>
      <c r="D66">
        <v>27</v>
      </c>
      <c r="E66" s="3">
        <v>44134</v>
      </c>
      <c r="F66" s="4">
        <v>54970</v>
      </c>
      <c r="G66" t="s">
        <v>10</v>
      </c>
    </row>
    <row r="67" spans="1:7" x14ac:dyDescent="0.3">
      <c r="A67" t="s">
        <v>80</v>
      </c>
      <c r="C67" t="s">
        <v>20</v>
      </c>
      <c r="D67">
        <v>26</v>
      </c>
      <c r="E67" s="3">
        <v>44271</v>
      </c>
      <c r="F67" s="4">
        <v>90700</v>
      </c>
      <c r="G67" t="s">
        <v>7</v>
      </c>
    </row>
    <row r="68" spans="1:7" x14ac:dyDescent="0.3">
      <c r="A68" t="s">
        <v>81</v>
      </c>
      <c r="B68" t="s">
        <v>12</v>
      </c>
      <c r="C68" t="s">
        <v>6</v>
      </c>
      <c r="D68">
        <v>38</v>
      </c>
      <c r="E68" s="3">
        <v>44329</v>
      </c>
      <c r="F68" s="4">
        <v>56870</v>
      </c>
      <c r="G68" t="s">
        <v>7</v>
      </c>
    </row>
    <row r="69" spans="1:7" x14ac:dyDescent="0.3">
      <c r="A69" t="s">
        <v>82</v>
      </c>
      <c r="B69" t="s">
        <v>12</v>
      </c>
      <c r="C69" t="s">
        <v>6</v>
      </c>
      <c r="D69">
        <v>25</v>
      </c>
      <c r="E69" s="3">
        <v>44205</v>
      </c>
      <c r="F69" s="4">
        <v>92700</v>
      </c>
      <c r="G69" t="s">
        <v>10</v>
      </c>
    </row>
    <row r="70" spans="1:7" x14ac:dyDescent="0.3">
      <c r="A70" t="s">
        <v>83</v>
      </c>
      <c r="B70" t="s">
        <v>12</v>
      </c>
      <c r="C70" t="s">
        <v>14</v>
      </c>
      <c r="D70">
        <v>21</v>
      </c>
      <c r="E70" s="3">
        <v>44317</v>
      </c>
      <c r="F70" s="4">
        <v>65920</v>
      </c>
      <c r="G70" t="s">
        <v>10</v>
      </c>
    </row>
    <row r="71" spans="1:7" x14ac:dyDescent="0.3">
      <c r="A71" t="s">
        <v>84</v>
      </c>
      <c r="B71" t="s">
        <v>5</v>
      </c>
      <c r="C71" t="s">
        <v>9</v>
      </c>
      <c r="D71">
        <v>26</v>
      </c>
      <c r="E71" s="3">
        <v>44225</v>
      </c>
      <c r="F71" s="4">
        <v>47360</v>
      </c>
      <c r="G71" t="s">
        <v>10</v>
      </c>
    </row>
    <row r="72" spans="1:7" x14ac:dyDescent="0.3">
      <c r="A72" t="s">
        <v>85</v>
      </c>
      <c r="B72" t="s">
        <v>5</v>
      </c>
      <c r="C72" t="s">
        <v>9</v>
      </c>
      <c r="D72">
        <v>30</v>
      </c>
      <c r="E72" s="3">
        <v>44666</v>
      </c>
      <c r="F72" s="4">
        <v>60570</v>
      </c>
      <c r="G72" t="s">
        <v>10</v>
      </c>
    </row>
    <row r="73" spans="1:7" x14ac:dyDescent="0.3">
      <c r="A73" t="s">
        <v>86</v>
      </c>
      <c r="B73" t="s">
        <v>12</v>
      </c>
      <c r="C73" t="s">
        <v>9</v>
      </c>
      <c r="D73">
        <v>28</v>
      </c>
      <c r="E73" s="3">
        <v>44649</v>
      </c>
      <c r="F73" s="4">
        <v>104120</v>
      </c>
      <c r="G73" t="s">
        <v>10</v>
      </c>
    </row>
    <row r="74" spans="1:7" x14ac:dyDescent="0.3">
      <c r="A74" t="s">
        <v>87</v>
      </c>
      <c r="B74" t="s">
        <v>5</v>
      </c>
      <c r="C74" t="s">
        <v>20</v>
      </c>
      <c r="D74">
        <v>37</v>
      </c>
      <c r="E74" s="3">
        <v>44338</v>
      </c>
      <c r="F74" s="4">
        <v>88050</v>
      </c>
      <c r="G74" t="s">
        <v>15</v>
      </c>
    </row>
    <row r="75" spans="1:7" x14ac:dyDescent="0.3">
      <c r="A75" t="s">
        <v>88</v>
      </c>
      <c r="B75" t="s">
        <v>5</v>
      </c>
      <c r="C75" t="s">
        <v>20</v>
      </c>
      <c r="D75">
        <v>24</v>
      </c>
      <c r="E75" s="3">
        <v>44686</v>
      </c>
      <c r="F75" s="4">
        <v>100420</v>
      </c>
      <c r="G75" t="s">
        <v>10</v>
      </c>
    </row>
    <row r="76" spans="1:7" x14ac:dyDescent="0.3">
      <c r="A76" t="s">
        <v>89</v>
      </c>
      <c r="B76" t="s">
        <v>12</v>
      </c>
      <c r="C76" t="s">
        <v>9</v>
      </c>
      <c r="D76">
        <v>30</v>
      </c>
      <c r="E76" s="3">
        <v>44850</v>
      </c>
      <c r="F76" s="4">
        <v>114180</v>
      </c>
      <c r="G76" t="s">
        <v>10</v>
      </c>
    </row>
    <row r="77" spans="1:7" x14ac:dyDescent="0.3">
      <c r="A77" t="s">
        <v>90</v>
      </c>
      <c r="B77" t="s">
        <v>12</v>
      </c>
      <c r="C77" t="s">
        <v>20</v>
      </c>
      <c r="D77">
        <v>21</v>
      </c>
      <c r="E77" s="3">
        <v>44678</v>
      </c>
      <c r="F77" s="4">
        <v>33920</v>
      </c>
      <c r="G77" t="s">
        <v>10</v>
      </c>
    </row>
    <row r="78" spans="1:7" x14ac:dyDescent="0.3">
      <c r="A78" t="s">
        <v>91</v>
      </c>
      <c r="B78" t="s">
        <v>5</v>
      </c>
      <c r="C78" t="s">
        <v>9</v>
      </c>
      <c r="D78">
        <v>23</v>
      </c>
      <c r="E78" s="3">
        <v>44440</v>
      </c>
      <c r="F78" s="4">
        <v>106460</v>
      </c>
      <c r="G78" t="s">
        <v>10</v>
      </c>
    </row>
    <row r="79" spans="1:7" x14ac:dyDescent="0.3">
      <c r="A79" t="s">
        <v>92</v>
      </c>
      <c r="B79" t="s">
        <v>5</v>
      </c>
      <c r="C79" t="s">
        <v>9</v>
      </c>
      <c r="D79">
        <v>35</v>
      </c>
      <c r="E79" s="3">
        <v>44727</v>
      </c>
      <c r="F79" s="4">
        <v>40400</v>
      </c>
      <c r="G79" t="s">
        <v>10</v>
      </c>
    </row>
    <row r="80" spans="1:7" x14ac:dyDescent="0.3">
      <c r="A80" t="s">
        <v>93</v>
      </c>
      <c r="B80" t="s">
        <v>5</v>
      </c>
      <c r="C80" t="s">
        <v>14</v>
      </c>
      <c r="D80">
        <v>27</v>
      </c>
      <c r="E80" s="3">
        <v>44236</v>
      </c>
      <c r="F80" s="4">
        <v>91650</v>
      </c>
      <c r="G80" t="s">
        <v>7</v>
      </c>
    </row>
    <row r="81" spans="1:7" x14ac:dyDescent="0.3">
      <c r="A81" t="s">
        <v>94</v>
      </c>
      <c r="B81" t="s">
        <v>5</v>
      </c>
      <c r="C81" t="s">
        <v>6</v>
      </c>
      <c r="D81">
        <v>43</v>
      </c>
      <c r="E81" s="3">
        <v>44620</v>
      </c>
      <c r="F81" s="4">
        <v>36040</v>
      </c>
      <c r="G81" t="s">
        <v>10</v>
      </c>
    </row>
    <row r="82" spans="1:7" x14ac:dyDescent="0.3">
      <c r="A82" t="s">
        <v>95</v>
      </c>
      <c r="B82" t="s">
        <v>12</v>
      </c>
      <c r="C82" t="s">
        <v>20</v>
      </c>
      <c r="D82">
        <v>40</v>
      </c>
      <c r="E82" s="3">
        <v>44381</v>
      </c>
      <c r="F82" s="4">
        <v>104410</v>
      </c>
      <c r="G82" t="s">
        <v>10</v>
      </c>
    </row>
    <row r="83" spans="1:7" x14ac:dyDescent="0.3">
      <c r="A83" t="s">
        <v>96</v>
      </c>
      <c r="B83" t="s">
        <v>5</v>
      </c>
      <c r="C83" t="s">
        <v>14</v>
      </c>
      <c r="D83">
        <v>30</v>
      </c>
      <c r="E83" s="3">
        <v>44606</v>
      </c>
      <c r="F83" s="4">
        <v>96800</v>
      </c>
      <c r="G83" t="s">
        <v>10</v>
      </c>
    </row>
    <row r="84" spans="1:7" x14ac:dyDescent="0.3">
      <c r="A84" t="s">
        <v>97</v>
      </c>
      <c r="B84" t="s">
        <v>12</v>
      </c>
      <c r="C84" t="s">
        <v>14</v>
      </c>
      <c r="D84">
        <v>34</v>
      </c>
      <c r="E84" s="3">
        <v>44459</v>
      </c>
      <c r="F84" s="4">
        <v>85000</v>
      </c>
      <c r="G84" t="s">
        <v>10</v>
      </c>
    </row>
    <row r="85" spans="1:7" x14ac:dyDescent="0.3">
      <c r="A85" t="s">
        <v>98</v>
      </c>
      <c r="B85" t="s">
        <v>5</v>
      </c>
      <c r="C85" t="s">
        <v>6</v>
      </c>
      <c r="D85">
        <v>28</v>
      </c>
      <c r="E85" s="3">
        <v>44820</v>
      </c>
      <c r="F85" s="4">
        <v>43510</v>
      </c>
      <c r="G85" t="s">
        <v>46</v>
      </c>
    </row>
    <row r="86" spans="1:7" x14ac:dyDescent="0.3">
      <c r="A86" t="s">
        <v>99</v>
      </c>
      <c r="B86" t="s">
        <v>5</v>
      </c>
      <c r="C86" t="s">
        <v>14</v>
      </c>
      <c r="D86">
        <v>33</v>
      </c>
      <c r="E86" s="3">
        <v>44243</v>
      </c>
      <c r="F86" s="4">
        <v>59430</v>
      </c>
      <c r="G86" t="s">
        <v>10</v>
      </c>
    </row>
    <row r="87" spans="1:7" x14ac:dyDescent="0.3">
      <c r="A87" t="s">
        <v>100</v>
      </c>
      <c r="B87" t="s">
        <v>12</v>
      </c>
      <c r="C87" t="s">
        <v>14</v>
      </c>
      <c r="D87">
        <v>33</v>
      </c>
      <c r="E87" s="3">
        <v>44067</v>
      </c>
      <c r="F87" s="4">
        <v>65360</v>
      </c>
      <c r="G87" t="s">
        <v>10</v>
      </c>
    </row>
    <row r="88" spans="1:7" x14ac:dyDescent="0.3">
      <c r="A88" t="s">
        <v>101</v>
      </c>
      <c r="B88" t="s">
        <v>12</v>
      </c>
      <c r="C88" t="s">
        <v>9</v>
      </c>
      <c r="D88">
        <v>32</v>
      </c>
      <c r="E88" s="3">
        <v>44611</v>
      </c>
      <c r="F88" s="4">
        <v>41570</v>
      </c>
      <c r="G88" t="s">
        <v>10</v>
      </c>
    </row>
    <row r="89" spans="1:7" x14ac:dyDescent="0.3">
      <c r="A89" t="s">
        <v>102</v>
      </c>
      <c r="B89" t="s">
        <v>12</v>
      </c>
      <c r="C89" t="s">
        <v>20</v>
      </c>
      <c r="D89">
        <v>33</v>
      </c>
      <c r="E89" s="3">
        <v>44312</v>
      </c>
      <c r="F89" s="4">
        <v>75280</v>
      </c>
      <c r="G89" t="s">
        <v>10</v>
      </c>
    </row>
    <row r="90" spans="1:7" x14ac:dyDescent="0.3">
      <c r="A90" t="s">
        <v>103</v>
      </c>
      <c r="B90" t="s">
        <v>5</v>
      </c>
      <c r="C90" t="s">
        <v>6</v>
      </c>
      <c r="D90">
        <v>33</v>
      </c>
      <c r="E90" s="3">
        <v>44385</v>
      </c>
      <c r="F90" s="4">
        <v>74550</v>
      </c>
      <c r="G90" t="s">
        <v>10</v>
      </c>
    </row>
    <row r="91" spans="1:7" x14ac:dyDescent="0.3">
      <c r="A91" t="s">
        <v>104</v>
      </c>
      <c r="B91" t="s">
        <v>5</v>
      </c>
      <c r="C91" t="s">
        <v>9</v>
      </c>
      <c r="D91">
        <v>30</v>
      </c>
      <c r="E91" s="3">
        <v>44701</v>
      </c>
      <c r="F91" s="4">
        <v>67950</v>
      </c>
      <c r="G91" t="s">
        <v>10</v>
      </c>
    </row>
    <row r="92" spans="1:7" x14ac:dyDescent="0.3">
      <c r="A92" t="s">
        <v>105</v>
      </c>
      <c r="B92" t="s">
        <v>5</v>
      </c>
      <c r="C92" t="s">
        <v>14</v>
      </c>
      <c r="D92">
        <v>42</v>
      </c>
      <c r="E92" s="3">
        <v>44731</v>
      </c>
      <c r="F92" s="4">
        <v>70270</v>
      </c>
      <c r="G92" t="s">
        <v>15</v>
      </c>
    </row>
    <row r="93" spans="1:7" x14ac:dyDescent="0.3">
      <c r="A93" t="s">
        <v>106</v>
      </c>
      <c r="B93" t="s">
        <v>5</v>
      </c>
      <c r="C93" t="s">
        <v>9</v>
      </c>
      <c r="D93">
        <v>26</v>
      </c>
      <c r="E93" s="3">
        <v>44411</v>
      </c>
      <c r="F93" s="4">
        <v>53540</v>
      </c>
      <c r="G93" t="s">
        <v>10</v>
      </c>
    </row>
    <row r="94" spans="1:7" x14ac:dyDescent="0.3">
      <c r="A94" t="s">
        <v>4</v>
      </c>
      <c r="B94" t="s">
        <v>5</v>
      </c>
      <c r="C94" t="s">
        <v>6</v>
      </c>
      <c r="D94">
        <v>22</v>
      </c>
      <c r="E94" s="3">
        <v>44446</v>
      </c>
      <c r="F94" s="4">
        <v>112780</v>
      </c>
      <c r="G94" t="s">
        <v>7</v>
      </c>
    </row>
    <row r="95" spans="1:7" x14ac:dyDescent="0.3">
      <c r="A95" t="s">
        <v>8</v>
      </c>
      <c r="B95" t="s">
        <v>5</v>
      </c>
      <c r="C95" t="s">
        <v>9</v>
      </c>
      <c r="D95">
        <v>46</v>
      </c>
      <c r="E95" s="3">
        <v>44758</v>
      </c>
      <c r="F95" s="4">
        <v>70610</v>
      </c>
      <c r="G95" t="s">
        <v>10</v>
      </c>
    </row>
    <row r="96" spans="1:7" x14ac:dyDescent="0.3">
      <c r="A96" t="s">
        <v>11</v>
      </c>
      <c r="B96" t="s">
        <v>12</v>
      </c>
      <c r="C96" t="s">
        <v>6</v>
      </c>
      <c r="D96">
        <v>28</v>
      </c>
      <c r="E96" s="3">
        <v>44357</v>
      </c>
      <c r="F96" s="4">
        <v>53240</v>
      </c>
      <c r="G96" t="s">
        <v>10</v>
      </c>
    </row>
    <row r="97" spans="1:7" x14ac:dyDescent="0.3">
      <c r="A97" t="s">
        <v>13</v>
      </c>
      <c r="C97" t="s">
        <v>14</v>
      </c>
      <c r="D97">
        <v>37</v>
      </c>
      <c r="E97" s="3">
        <v>44146</v>
      </c>
      <c r="F97" s="4">
        <v>115440</v>
      </c>
      <c r="G97" t="s">
        <v>15</v>
      </c>
    </row>
    <row r="98" spans="1:7" x14ac:dyDescent="0.3">
      <c r="A98" t="s">
        <v>16</v>
      </c>
      <c r="B98" t="s">
        <v>5</v>
      </c>
      <c r="C98" t="s">
        <v>6</v>
      </c>
      <c r="D98">
        <v>32</v>
      </c>
      <c r="E98" s="3">
        <v>44465</v>
      </c>
      <c r="F98" s="4">
        <v>53540</v>
      </c>
      <c r="G98" t="s">
        <v>10</v>
      </c>
    </row>
    <row r="99" spans="1:7" x14ac:dyDescent="0.3">
      <c r="A99" t="s">
        <v>17</v>
      </c>
      <c r="B99" t="s">
        <v>12</v>
      </c>
      <c r="C99" t="s">
        <v>9</v>
      </c>
      <c r="D99">
        <v>30</v>
      </c>
      <c r="E99" s="3">
        <v>44861</v>
      </c>
      <c r="F99" s="4">
        <v>112570</v>
      </c>
      <c r="G99" t="s">
        <v>10</v>
      </c>
    </row>
    <row r="100" spans="1:7" x14ac:dyDescent="0.3">
      <c r="A100" t="s">
        <v>18</v>
      </c>
      <c r="B100" t="s">
        <v>5</v>
      </c>
      <c r="C100" t="s">
        <v>9</v>
      </c>
      <c r="D100">
        <v>33</v>
      </c>
      <c r="E100" s="3">
        <v>44701</v>
      </c>
      <c r="F100" s="4">
        <v>48530</v>
      </c>
      <c r="G100" t="s">
        <v>7</v>
      </c>
    </row>
    <row r="101" spans="1:7" x14ac:dyDescent="0.3">
      <c r="A101" t="s">
        <v>19</v>
      </c>
      <c r="B101" t="s">
        <v>12</v>
      </c>
      <c r="C101" t="s">
        <v>20</v>
      </c>
      <c r="D101">
        <v>24</v>
      </c>
      <c r="E101" s="3">
        <v>44148</v>
      </c>
      <c r="F101" s="4">
        <v>62780</v>
      </c>
      <c r="G101" t="s">
        <v>10</v>
      </c>
    </row>
    <row r="102" spans="1:7" x14ac:dyDescent="0.3">
      <c r="A102" t="s">
        <v>202</v>
      </c>
      <c r="D102">
        <f>SUBTOTAL(101,NZ_Staff[Age])</f>
        <v>30.52</v>
      </c>
      <c r="F102" s="4">
        <f>SUBTOTAL(101,NZ_Staff[Salary])</f>
        <v>77472.100000000006</v>
      </c>
      <c r="G102">
        <f>SUBTOTAL(103,NZ_Staff[Rating])</f>
        <v>100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3C28-8E7E-49C8-8C6C-2716A25E48D0}">
  <sheetPr>
    <tabColor theme="5"/>
  </sheetPr>
  <dimension ref="A1:G114"/>
  <sheetViews>
    <sheetView tabSelected="1" workbookViewId="0">
      <selection activeCell="M16" sqref="M16"/>
    </sheetView>
  </sheetViews>
  <sheetFormatPr defaultRowHeight="14.4" x14ac:dyDescent="0.3"/>
  <cols>
    <col min="1" max="1" width="18.6640625" style="1" bestFit="1" customWidth="1"/>
    <col min="2" max="2" width="9.33203125" style="1" bestFit="1" customWidth="1"/>
    <col min="3" max="3" width="6.44140625" style="1" bestFit="1" customWidth="1"/>
    <col min="4" max="4" width="8.5546875" style="1" bestFit="1" customWidth="1"/>
    <col min="5" max="5" width="13" style="1" bestFit="1" customWidth="1"/>
    <col min="6" max="6" width="13.33203125" style="1" bestFit="1" customWidth="1"/>
    <col min="7" max="7" width="8.33203125" style="1" bestFit="1" customWidth="1"/>
    <col min="8" max="16384" width="8.88671875" style="1"/>
  </cols>
  <sheetData>
    <row r="1" spans="1:7" x14ac:dyDescent="0.3">
      <c r="A1" s="1" t="s">
        <v>0</v>
      </c>
      <c r="B1" s="1" t="s">
        <v>1</v>
      </c>
      <c r="C1" s="1" t="s">
        <v>108</v>
      </c>
      <c r="D1" s="1" t="s">
        <v>3</v>
      </c>
      <c r="E1" s="1" t="s">
        <v>109</v>
      </c>
      <c r="F1" s="1" t="s">
        <v>2</v>
      </c>
      <c r="G1" s="1" t="s">
        <v>107</v>
      </c>
    </row>
    <row r="2" spans="1:7" x14ac:dyDescent="0.3">
      <c r="A2" s="1" t="s">
        <v>110</v>
      </c>
      <c r="B2" s="1" t="s">
        <v>5</v>
      </c>
      <c r="C2" s="1">
        <v>20</v>
      </c>
      <c r="D2" s="1" t="s">
        <v>10</v>
      </c>
      <c r="E2" s="2">
        <v>44122</v>
      </c>
      <c r="F2" s="1" t="s">
        <v>20</v>
      </c>
      <c r="G2" s="1">
        <v>112650</v>
      </c>
    </row>
    <row r="3" spans="1:7" ht="28.8" x14ac:dyDescent="0.3">
      <c r="A3" s="1" t="s">
        <v>111</v>
      </c>
      <c r="B3" s="1" t="s">
        <v>12</v>
      </c>
      <c r="C3" s="1">
        <v>32</v>
      </c>
      <c r="D3" s="1" t="s">
        <v>7</v>
      </c>
      <c r="E3" s="2">
        <v>44293</v>
      </c>
      <c r="F3" s="1" t="s">
        <v>20</v>
      </c>
      <c r="G3" s="1">
        <v>43840</v>
      </c>
    </row>
    <row r="4" spans="1:7" x14ac:dyDescent="0.3">
      <c r="A4" s="1" t="s">
        <v>112</v>
      </c>
      <c r="B4" s="1" t="s">
        <v>5</v>
      </c>
      <c r="C4" s="1">
        <v>31</v>
      </c>
      <c r="D4" s="1" t="s">
        <v>10</v>
      </c>
      <c r="E4" s="2">
        <v>44663</v>
      </c>
      <c r="F4" s="1" t="s">
        <v>9</v>
      </c>
      <c r="G4" s="1">
        <v>103550</v>
      </c>
    </row>
    <row r="5" spans="1:7" x14ac:dyDescent="0.3">
      <c r="A5" s="1" t="s">
        <v>113</v>
      </c>
      <c r="B5" s="1" t="s">
        <v>12</v>
      </c>
      <c r="C5" s="1">
        <v>32</v>
      </c>
      <c r="D5" s="1" t="s">
        <v>10</v>
      </c>
      <c r="E5" s="2">
        <v>44339</v>
      </c>
      <c r="F5" s="1" t="s">
        <v>23</v>
      </c>
      <c r="G5" s="1">
        <v>45510</v>
      </c>
    </row>
    <row r="6" spans="1:7" x14ac:dyDescent="0.3">
      <c r="A6" s="1" t="s">
        <v>114</v>
      </c>
      <c r="C6" s="1">
        <v>37</v>
      </c>
      <c r="D6" s="1" t="s">
        <v>15</v>
      </c>
      <c r="E6" s="2">
        <v>44085</v>
      </c>
      <c r="F6" s="1" t="s">
        <v>14</v>
      </c>
      <c r="G6" s="1">
        <v>115440</v>
      </c>
    </row>
    <row r="7" spans="1:7" ht="28.8" x14ac:dyDescent="0.3">
      <c r="A7" s="1" t="s">
        <v>115</v>
      </c>
      <c r="B7" s="1" t="s">
        <v>12</v>
      </c>
      <c r="C7" s="1">
        <v>38</v>
      </c>
      <c r="D7" s="1" t="s">
        <v>7</v>
      </c>
      <c r="E7" s="2">
        <v>44268</v>
      </c>
      <c r="F7" s="1" t="s">
        <v>6</v>
      </c>
      <c r="G7" s="1">
        <v>56870</v>
      </c>
    </row>
    <row r="8" spans="1:7" ht="28.8" x14ac:dyDescent="0.3">
      <c r="A8" s="1" t="s">
        <v>116</v>
      </c>
      <c r="B8" s="1" t="s">
        <v>12</v>
      </c>
      <c r="C8" s="1">
        <v>25</v>
      </c>
      <c r="D8" s="1" t="s">
        <v>10</v>
      </c>
      <c r="E8" s="2">
        <v>44144</v>
      </c>
      <c r="F8" s="1" t="s">
        <v>6</v>
      </c>
      <c r="G8" s="1">
        <v>92700</v>
      </c>
    </row>
    <row r="9" spans="1:7" x14ac:dyDescent="0.3">
      <c r="A9" s="1" t="s">
        <v>117</v>
      </c>
      <c r="C9" s="1">
        <v>32</v>
      </c>
      <c r="D9" s="1" t="s">
        <v>10</v>
      </c>
      <c r="E9" s="2">
        <v>44713</v>
      </c>
      <c r="F9" s="1" t="s">
        <v>20</v>
      </c>
      <c r="G9" s="1">
        <v>91310</v>
      </c>
    </row>
    <row r="10" spans="1:7" x14ac:dyDescent="0.3">
      <c r="A10" s="1" t="s">
        <v>118</v>
      </c>
      <c r="B10" s="1" t="s">
        <v>5</v>
      </c>
      <c r="C10" s="1">
        <v>33</v>
      </c>
      <c r="D10" s="1" t="s">
        <v>10</v>
      </c>
      <c r="E10" s="2">
        <v>44324</v>
      </c>
      <c r="F10" s="1" t="s">
        <v>6</v>
      </c>
      <c r="G10" s="1">
        <v>74550</v>
      </c>
    </row>
    <row r="11" spans="1:7" ht="28.8" x14ac:dyDescent="0.3">
      <c r="A11" s="1" t="s">
        <v>119</v>
      </c>
      <c r="B11" s="1" t="s">
        <v>5</v>
      </c>
      <c r="C11" s="1">
        <v>25</v>
      </c>
      <c r="D11" s="1" t="s">
        <v>7</v>
      </c>
      <c r="E11" s="2">
        <v>44665</v>
      </c>
      <c r="F11" s="1" t="s">
        <v>9</v>
      </c>
      <c r="G11" s="1">
        <v>109190</v>
      </c>
    </row>
    <row r="12" spans="1:7" x14ac:dyDescent="0.3">
      <c r="A12" s="1" t="s">
        <v>120</v>
      </c>
      <c r="B12" s="1" t="s">
        <v>12</v>
      </c>
      <c r="C12" s="1">
        <v>40</v>
      </c>
      <c r="D12" s="1" t="s">
        <v>10</v>
      </c>
      <c r="E12" s="2">
        <v>44320</v>
      </c>
      <c r="F12" s="1" t="s">
        <v>20</v>
      </c>
      <c r="G12" s="1">
        <v>104410</v>
      </c>
    </row>
    <row r="13" spans="1:7" x14ac:dyDescent="0.3">
      <c r="A13" s="1" t="s">
        <v>121</v>
      </c>
      <c r="B13" s="1" t="s">
        <v>5</v>
      </c>
      <c r="C13" s="1">
        <v>30</v>
      </c>
      <c r="D13" s="1" t="s">
        <v>10</v>
      </c>
      <c r="E13" s="2">
        <v>44544</v>
      </c>
      <c r="F13" s="1" t="s">
        <v>14</v>
      </c>
      <c r="G13" s="1">
        <v>96800</v>
      </c>
    </row>
    <row r="14" spans="1:7" ht="28.8" x14ac:dyDescent="0.3">
      <c r="A14" s="1" t="s">
        <v>122</v>
      </c>
      <c r="B14" s="1" t="s">
        <v>5</v>
      </c>
      <c r="C14" s="1">
        <v>28</v>
      </c>
      <c r="D14" s="1" t="s">
        <v>7</v>
      </c>
      <c r="E14" s="2">
        <v>43980</v>
      </c>
      <c r="F14" s="1" t="s">
        <v>14</v>
      </c>
      <c r="G14" s="1">
        <v>48170</v>
      </c>
    </row>
    <row r="15" spans="1:7" x14ac:dyDescent="0.3">
      <c r="A15" s="1" t="s">
        <v>123</v>
      </c>
      <c r="B15" s="1" t="s">
        <v>5</v>
      </c>
      <c r="C15" s="1">
        <v>21</v>
      </c>
      <c r="D15" s="1" t="s">
        <v>10</v>
      </c>
      <c r="E15" s="2">
        <v>44042</v>
      </c>
      <c r="F15" s="1" t="s">
        <v>9</v>
      </c>
      <c r="G15" s="1">
        <v>37920</v>
      </c>
    </row>
    <row r="16" spans="1:7" x14ac:dyDescent="0.3">
      <c r="A16" s="1" t="s">
        <v>124</v>
      </c>
      <c r="B16" s="1" t="s">
        <v>5</v>
      </c>
      <c r="C16" s="1">
        <v>34</v>
      </c>
      <c r="D16" s="1" t="s">
        <v>10</v>
      </c>
      <c r="E16" s="2">
        <v>44642</v>
      </c>
      <c r="F16" s="1" t="s">
        <v>9</v>
      </c>
      <c r="G16" s="1">
        <v>112650</v>
      </c>
    </row>
    <row r="17" spans="1:7" x14ac:dyDescent="0.3">
      <c r="A17" s="1" t="s">
        <v>125</v>
      </c>
      <c r="B17" s="1" t="s">
        <v>12</v>
      </c>
      <c r="C17" s="1">
        <v>34</v>
      </c>
      <c r="D17" s="1" t="s">
        <v>15</v>
      </c>
      <c r="E17" s="2">
        <v>44660</v>
      </c>
      <c r="F17" s="1" t="s">
        <v>6</v>
      </c>
      <c r="G17" s="1">
        <v>49630</v>
      </c>
    </row>
    <row r="18" spans="1:7" x14ac:dyDescent="0.3">
      <c r="A18" s="1" t="s">
        <v>126</v>
      </c>
      <c r="B18" s="1" t="s">
        <v>5</v>
      </c>
      <c r="C18" s="1">
        <v>36</v>
      </c>
      <c r="D18" s="1" t="s">
        <v>10</v>
      </c>
      <c r="E18" s="2">
        <v>43958</v>
      </c>
      <c r="F18" s="1" t="s">
        <v>20</v>
      </c>
      <c r="G18" s="1">
        <v>118840</v>
      </c>
    </row>
    <row r="19" spans="1:7" x14ac:dyDescent="0.3">
      <c r="A19" s="1" t="s">
        <v>127</v>
      </c>
      <c r="B19" s="1" t="s">
        <v>5</v>
      </c>
      <c r="C19" s="1">
        <v>30</v>
      </c>
      <c r="D19" s="1" t="s">
        <v>10</v>
      </c>
      <c r="E19" s="2">
        <v>44789</v>
      </c>
      <c r="F19" s="1" t="s">
        <v>20</v>
      </c>
      <c r="G19" s="1">
        <v>69710</v>
      </c>
    </row>
    <row r="20" spans="1:7" x14ac:dyDescent="0.3">
      <c r="A20" s="1" t="s">
        <v>128</v>
      </c>
      <c r="B20" s="1" t="s">
        <v>5</v>
      </c>
      <c r="C20" s="1">
        <v>20</v>
      </c>
      <c r="D20" s="1" t="s">
        <v>10</v>
      </c>
      <c r="E20" s="2">
        <v>44683</v>
      </c>
      <c r="F20" s="1" t="s">
        <v>9</v>
      </c>
      <c r="G20" s="1">
        <v>79570</v>
      </c>
    </row>
    <row r="21" spans="1:7" ht="28.8" x14ac:dyDescent="0.3">
      <c r="A21" s="1" t="s">
        <v>129</v>
      </c>
      <c r="B21" s="1" t="s">
        <v>12</v>
      </c>
      <c r="C21" s="1">
        <v>22</v>
      </c>
      <c r="D21" s="1" t="s">
        <v>7</v>
      </c>
      <c r="E21" s="2">
        <v>44388</v>
      </c>
      <c r="F21" s="1" t="s">
        <v>9</v>
      </c>
      <c r="G21" s="1">
        <v>76900</v>
      </c>
    </row>
    <row r="22" spans="1:7" x14ac:dyDescent="0.3">
      <c r="A22" s="1" t="s">
        <v>130</v>
      </c>
      <c r="B22" s="1" t="s">
        <v>5</v>
      </c>
      <c r="C22" s="1">
        <v>27</v>
      </c>
      <c r="D22" s="1" t="s">
        <v>10</v>
      </c>
      <c r="E22" s="2">
        <v>44073</v>
      </c>
      <c r="F22" s="1" t="s">
        <v>6</v>
      </c>
      <c r="G22" s="1">
        <v>54970</v>
      </c>
    </row>
    <row r="23" spans="1:7" x14ac:dyDescent="0.3">
      <c r="A23" s="1" t="s">
        <v>131</v>
      </c>
      <c r="B23" s="1" t="s">
        <v>5</v>
      </c>
      <c r="C23" s="1">
        <v>37</v>
      </c>
      <c r="D23" s="1" t="s">
        <v>15</v>
      </c>
      <c r="E23" s="2">
        <v>44277</v>
      </c>
      <c r="F23" s="1" t="s">
        <v>20</v>
      </c>
      <c r="G23" s="1">
        <v>88050</v>
      </c>
    </row>
    <row r="24" spans="1:7" x14ac:dyDescent="0.3">
      <c r="A24" s="1" t="s">
        <v>132</v>
      </c>
      <c r="B24" s="1" t="s">
        <v>5</v>
      </c>
      <c r="C24" s="1">
        <v>43</v>
      </c>
      <c r="D24" s="1" t="s">
        <v>10</v>
      </c>
      <c r="E24" s="2">
        <v>44558</v>
      </c>
      <c r="F24" s="1" t="s">
        <v>6</v>
      </c>
      <c r="G24" s="1">
        <v>36040</v>
      </c>
    </row>
    <row r="25" spans="1:7" ht="28.8" x14ac:dyDescent="0.3">
      <c r="A25" s="1" t="s">
        <v>133</v>
      </c>
      <c r="B25" s="1" t="s">
        <v>12</v>
      </c>
      <c r="C25" s="1">
        <v>42</v>
      </c>
      <c r="D25" s="1" t="s">
        <v>40</v>
      </c>
      <c r="E25" s="2">
        <v>44718</v>
      </c>
      <c r="F25" s="1" t="s">
        <v>9</v>
      </c>
      <c r="G25" s="1">
        <v>75000</v>
      </c>
    </row>
    <row r="26" spans="1:7" x14ac:dyDescent="0.3">
      <c r="A26" s="1" t="s">
        <v>134</v>
      </c>
      <c r="B26" s="1" t="s">
        <v>5</v>
      </c>
      <c r="C26" s="1">
        <v>35</v>
      </c>
      <c r="D26" s="1" t="s">
        <v>10</v>
      </c>
      <c r="E26" s="2">
        <v>44666</v>
      </c>
      <c r="F26" s="1" t="s">
        <v>9</v>
      </c>
      <c r="G26" s="1">
        <v>40400</v>
      </c>
    </row>
    <row r="27" spans="1:7" ht="28.8" x14ac:dyDescent="0.3">
      <c r="A27" s="1" t="s">
        <v>135</v>
      </c>
      <c r="B27" s="1" t="s">
        <v>5</v>
      </c>
      <c r="C27" s="1">
        <v>24</v>
      </c>
      <c r="D27" s="1" t="s">
        <v>10</v>
      </c>
      <c r="E27" s="2">
        <v>44625</v>
      </c>
      <c r="F27" s="1" t="s">
        <v>20</v>
      </c>
      <c r="G27" s="1">
        <v>100420</v>
      </c>
    </row>
    <row r="28" spans="1:7" x14ac:dyDescent="0.3">
      <c r="A28" s="1" t="s">
        <v>136</v>
      </c>
      <c r="B28" s="1" t="s">
        <v>12</v>
      </c>
      <c r="C28" s="1">
        <v>31</v>
      </c>
      <c r="D28" s="1" t="s">
        <v>10</v>
      </c>
      <c r="E28" s="2">
        <v>44604</v>
      </c>
      <c r="F28" s="1" t="s">
        <v>20</v>
      </c>
      <c r="G28" s="1">
        <v>58100</v>
      </c>
    </row>
    <row r="29" spans="1:7" x14ac:dyDescent="0.3">
      <c r="A29" s="1" t="s">
        <v>137</v>
      </c>
      <c r="B29" s="1" t="s">
        <v>12</v>
      </c>
      <c r="C29" s="1">
        <v>44</v>
      </c>
      <c r="D29" s="1" t="s">
        <v>10</v>
      </c>
      <c r="E29" s="2">
        <v>44985</v>
      </c>
      <c r="F29" s="1" t="s">
        <v>20</v>
      </c>
      <c r="G29" s="1">
        <v>114870</v>
      </c>
    </row>
    <row r="30" spans="1:7" x14ac:dyDescent="0.3">
      <c r="A30" s="1" t="s">
        <v>138</v>
      </c>
      <c r="B30" s="1" t="s">
        <v>12</v>
      </c>
      <c r="C30" s="1">
        <v>32</v>
      </c>
      <c r="D30" s="1" t="s">
        <v>10</v>
      </c>
      <c r="E30" s="2">
        <v>44549</v>
      </c>
      <c r="F30" s="1" t="s">
        <v>9</v>
      </c>
      <c r="G30" s="1">
        <v>41570</v>
      </c>
    </row>
    <row r="31" spans="1:7" x14ac:dyDescent="0.3">
      <c r="A31" s="1" t="s">
        <v>139</v>
      </c>
      <c r="B31" s="1" t="s">
        <v>12</v>
      </c>
      <c r="C31" s="1">
        <v>30</v>
      </c>
      <c r="D31" s="1" t="s">
        <v>10</v>
      </c>
      <c r="E31" s="2">
        <v>44800</v>
      </c>
      <c r="F31" s="1" t="s">
        <v>9</v>
      </c>
      <c r="G31" s="1">
        <v>112570</v>
      </c>
    </row>
    <row r="32" spans="1:7" x14ac:dyDescent="0.3">
      <c r="A32" s="1" t="s">
        <v>140</v>
      </c>
      <c r="B32" s="1" t="s">
        <v>5</v>
      </c>
      <c r="C32" s="1">
        <v>26</v>
      </c>
      <c r="D32" s="1" t="s">
        <v>10</v>
      </c>
      <c r="E32" s="2">
        <v>44164</v>
      </c>
      <c r="F32" s="1" t="s">
        <v>9</v>
      </c>
      <c r="G32" s="1">
        <v>47360</v>
      </c>
    </row>
    <row r="33" spans="1:7" x14ac:dyDescent="0.3">
      <c r="A33" s="1" t="s">
        <v>141</v>
      </c>
      <c r="B33" s="1" t="s">
        <v>12</v>
      </c>
      <c r="C33" s="1">
        <v>21</v>
      </c>
      <c r="D33" s="1" t="s">
        <v>10</v>
      </c>
      <c r="E33" s="2">
        <v>44256</v>
      </c>
      <c r="F33" s="1" t="s">
        <v>14</v>
      </c>
      <c r="G33" s="1">
        <v>65920</v>
      </c>
    </row>
    <row r="34" spans="1:7" x14ac:dyDescent="0.3">
      <c r="A34" s="1" t="s">
        <v>142</v>
      </c>
      <c r="B34" s="1" t="s">
        <v>12</v>
      </c>
      <c r="C34" s="1">
        <v>28</v>
      </c>
      <c r="D34" s="1" t="s">
        <v>10</v>
      </c>
      <c r="E34" s="2">
        <v>44571</v>
      </c>
      <c r="F34" s="1" t="s">
        <v>9</v>
      </c>
      <c r="G34" s="1">
        <v>99970</v>
      </c>
    </row>
    <row r="35" spans="1:7" ht="28.8" x14ac:dyDescent="0.3">
      <c r="A35" s="1" t="s">
        <v>143</v>
      </c>
      <c r="B35" s="1" t="s">
        <v>12</v>
      </c>
      <c r="C35" s="1">
        <v>25</v>
      </c>
      <c r="D35" s="1" t="s">
        <v>7</v>
      </c>
      <c r="E35" s="2">
        <v>44633</v>
      </c>
      <c r="F35" s="1" t="s">
        <v>20</v>
      </c>
      <c r="G35" s="1">
        <v>80700</v>
      </c>
    </row>
    <row r="36" spans="1:7" x14ac:dyDescent="0.3">
      <c r="A36" s="1" t="s">
        <v>144</v>
      </c>
      <c r="B36" s="1" t="s">
        <v>5</v>
      </c>
      <c r="C36" s="1">
        <v>24</v>
      </c>
      <c r="D36" s="1" t="s">
        <v>15</v>
      </c>
      <c r="E36" s="2">
        <v>44375</v>
      </c>
      <c r="F36" s="1" t="s">
        <v>14</v>
      </c>
      <c r="G36" s="1">
        <v>52610</v>
      </c>
    </row>
    <row r="37" spans="1:7" x14ac:dyDescent="0.3">
      <c r="A37" s="1" t="s">
        <v>145</v>
      </c>
      <c r="B37" s="1" t="s">
        <v>5</v>
      </c>
      <c r="C37" s="1">
        <v>29</v>
      </c>
      <c r="D37" s="1" t="s">
        <v>15</v>
      </c>
      <c r="E37" s="2">
        <v>44119</v>
      </c>
      <c r="F37" s="1" t="s">
        <v>20</v>
      </c>
      <c r="G37" s="1">
        <v>112110</v>
      </c>
    </row>
    <row r="38" spans="1:7" ht="28.8" x14ac:dyDescent="0.3">
      <c r="A38" s="1" t="s">
        <v>146</v>
      </c>
      <c r="B38" s="1" t="s">
        <v>12</v>
      </c>
      <c r="C38" s="1">
        <v>27</v>
      </c>
      <c r="D38" s="1" t="s">
        <v>10</v>
      </c>
      <c r="E38" s="2">
        <v>44061</v>
      </c>
      <c r="F38" s="1" t="s">
        <v>23</v>
      </c>
      <c r="G38" s="1">
        <v>119110</v>
      </c>
    </row>
    <row r="39" spans="1:7" ht="28.8" x14ac:dyDescent="0.3">
      <c r="A39" s="1" t="s">
        <v>147</v>
      </c>
      <c r="B39" s="1" t="s">
        <v>5</v>
      </c>
      <c r="C39" s="1">
        <v>22</v>
      </c>
      <c r="D39" s="1" t="s">
        <v>7</v>
      </c>
      <c r="E39" s="2">
        <v>44384</v>
      </c>
      <c r="F39" s="1" t="s">
        <v>6</v>
      </c>
      <c r="G39" s="1">
        <v>112780</v>
      </c>
    </row>
    <row r="40" spans="1:7" x14ac:dyDescent="0.3">
      <c r="A40" s="1" t="s">
        <v>148</v>
      </c>
      <c r="B40" s="1" t="s">
        <v>12</v>
      </c>
      <c r="C40" s="1">
        <v>36</v>
      </c>
      <c r="D40" s="1" t="s">
        <v>10</v>
      </c>
      <c r="E40" s="2">
        <v>44023</v>
      </c>
      <c r="F40" s="1" t="s">
        <v>9</v>
      </c>
      <c r="G40" s="1">
        <v>114890</v>
      </c>
    </row>
    <row r="41" spans="1:7" x14ac:dyDescent="0.3">
      <c r="A41" s="1" t="s">
        <v>149</v>
      </c>
      <c r="B41" s="1" t="s">
        <v>5</v>
      </c>
      <c r="C41" s="1">
        <v>27</v>
      </c>
      <c r="D41" s="1" t="s">
        <v>10</v>
      </c>
      <c r="E41" s="2">
        <v>44506</v>
      </c>
      <c r="F41" s="1" t="s">
        <v>14</v>
      </c>
      <c r="G41" s="1">
        <v>48980</v>
      </c>
    </row>
    <row r="42" spans="1:7" ht="28.8" x14ac:dyDescent="0.3">
      <c r="A42" s="1" t="s">
        <v>150</v>
      </c>
      <c r="B42" s="1" t="s">
        <v>5</v>
      </c>
      <c r="C42" s="1">
        <v>21</v>
      </c>
      <c r="D42" s="1" t="s">
        <v>10</v>
      </c>
      <c r="E42" s="2">
        <v>44180</v>
      </c>
      <c r="F42" s="1" t="s">
        <v>23</v>
      </c>
      <c r="G42" s="1">
        <v>75880</v>
      </c>
    </row>
    <row r="43" spans="1:7" ht="28.8" x14ac:dyDescent="0.3">
      <c r="A43" s="1" t="s">
        <v>151</v>
      </c>
      <c r="B43" s="1" t="s">
        <v>12</v>
      </c>
      <c r="C43" s="1">
        <v>28</v>
      </c>
      <c r="D43" s="1" t="s">
        <v>10</v>
      </c>
      <c r="E43" s="2">
        <v>44296</v>
      </c>
      <c r="F43" s="1" t="s">
        <v>6</v>
      </c>
      <c r="G43" s="1">
        <v>53240</v>
      </c>
    </row>
    <row r="44" spans="1:7" x14ac:dyDescent="0.3">
      <c r="A44" s="1" t="s">
        <v>152</v>
      </c>
      <c r="B44" s="1" t="s">
        <v>12</v>
      </c>
      <c r="C44" s="1">
        <v>34</v>
      </c>
      <c r="D44" s="1" t="s">
        <v>10</v>
      </c>
      <c r="E44" s="2">
        <v>44397</v>
      </c>
      <c r="F44" s="1" t="s">
        <v>14</v>
      </c>
      <c r="G44" s="1">
        <v>85000</v>
      </c>
    </row>
    <row r="45" spans="1:7" x14ac:dyDescent="0.3">
      <c r="A45" s="1" t="s">
        <v>153</v>
      </c>
      <c r="B45" s="1" t="s">
        <v>12</v>
      </c>
      <c r="C45" s="1">
        <v>21</v>
      </c>
      <c r="D45" s="1" t="s">
        <v>10</v>
      </c>
      <c r="E45" s="2">
        <v>44619</v>
      </c>
      <c r="F45" s="1" t="s">
        <v>20</v>
      </c>
      <c r="G45" s="1">
        <v>33920</v>
      </c>
    </row>
    <row r="46" spans="1:7" x14ac:dyDescent="0.3">
      <c r="A46" s="1" t="s">
        <v>154</v>
      </c>
      <c r="B46" s="1" t="s">
        <v>12</v>
      </c>
      <c r="C46" s="1">
        <v>33</v>
      </c>
      <c r="D46" s="1" t="s">
        <v>10</v>
      </c>
      <c r="E46" s="2">
        <v>44253</v>
      </c>
      <c r="F46" s="1" t="s">
        <v>20</v>
      </c>
      <c r="G46" s="1">
        <v>75280</v>
      </c>
    </row>
    <row r="47" spans="1:7" x14ac:dyDescent="0.3">
      <c r="A47" s="1" t="s">
        <v>155</v>
      </c>
      <c r="B47" s="1" t="s">
        <v>12</v>
      </c>
      <c r="C47" s="1">
        <v>34</v>
      </c>
      <c r="D47" s="1" t="s">
        <v>10</v>
      </c>
      <c r="E47" s="2">
        <v>44594</v>
      </c>
      <c r="F47" s="1" t="s">
        <v>14</v>
      </c>
      <c r="G47" s="1">
        <v>58940</v>
      </c>
    </row>
    <row r="48" spans="1:7" x14ac:dyDescent="0.3">
      <c r="A48" s="1" t="s">
        <v>156</v>
      </c>
      <c r="B48" s="1" t="s">
        <v>12</v>
      </c>
      <c r="C48" s="1">
        <v>28</v>
      </c>
      <c r="D48" s="1" t="s">
        <v>10</v>
      </c>
      <c r="E48" s="2">
        <v>44425</v>
      </c>
      <c r="F48" s="1" t="s">
        <v>9</v>
      </c>
      <c r="G48" s="1">
        <v>104770</v>
      </c>
    </row>
    <row r="49" spans="1:7" x14ac:dyDescent="0.3">
      <c r="A49" s="1" t="s">
        <v>157</v>
      </c>
      <c r="B49" s="1" t="s">
        <v>5</v>
      </c>
      <c r="C49" s="1">
        <v>21</v>
      </c>
      <c r="D49" s="1" t="s">
        <v>10</v>
      </c>
      <c r="E49" s="2">
        <v>44701</v>
      </c>
      <c r="F49" s="1" t="s">
        <v>9</v>
      </c>
      <c r="G49" s="1">
        <v>57090</v>
      </c>
    </row>
    <row r="50" spans="1:7" ht="28.8" x14ac:dyDescent="0.3">
      <c r="A50" s="1" t="s">
        <v>158</v>
      </c>
      <c r="B50" s="1" t="s">
        <v>5</v>
      </c>
      <c r="C50" s="1">
        <v>27</v>
      </c>
      <c r="D50" s="1" t="s">
        <v>7</v>
      </c>
      <c r="E50" s="2">
        <v>44174</v>
      </c>
      <c r="F50" s="1" t="s">
        <v>14</v>
      </c>
      <c r="G50" s="1">
        <v>91650</v>
      </c>
    </row>
    <row r="51" spans="1:7" ht="28.8" x14ac:dyDescent="0.3">
      <c r="A51" s="1" t="s">
        <v>159</v>
      </c>
      <c r="B51" s="1" t="s">
        <v>5</v>
      </c>
      <c r="C51" s="1">
        <v>42</v>
      </c>
      <c r="D51" s="1" t="s">
        <v>15</v>
      </c>
      <c r="E51" s="2">
        <v>44670</v>
      </c>
      <c r="F51" s="1" t="s">
        <v>14</v>
      </c>
      <c r="G51" s="1">
        <v>70270</v>
      </c>
    </row>
    <row r="52" spans="1:7" x14ac:dyDescent="0.3">
      <c r="A52" s="1" t="s">
        <v>160</v>
      </c>
      <c r="B52" s="1" t="s">
        <v>12</v>
      </c>
      <c r="C52" s="1">
        <v>28</v>
      </c>
      <c r="D52" s="1" t="s">
        <v>10</v>
      </c>
      <c r="E52" s="2">
        <v>44124</v>
      </c>
      <c r="F52" s="1" t="s">
        <v>14</v>
      </c>
      <c r="G52" s="1">
        <v>75970</v>
      </c>
    </row>
    <row r="53" spans="1:7" ht="28.8" x14ac:dyDescent="0.3">
      <c r="A53" s="1" t="s">
        <v>161</v>
      </c>
      <c r="C53" s="1">
        <v>27</v>
      </c>
      <c r="D53" s="1" t="s">
        <v>7</v>
      </c>
      <c r="E53" s="2">
        <v>44212</v>
      </c>
      <c r="F53" s="1" t="s">
        <v>20</v>
      </c>
      <c r="G53" s="1">
        <v>90700</v>
      </c>
    </row>
    <row r="54" spans="1:7" x14ac:dyDescent="0.3">
      <c r="A54" s="1" t="s">
        <v>162</v>
      </c>
      <c r="B54" s="1" t="s">
        <v>5</v>
      </c>
      <c r="C54" s="1">
        <v>30</v>
      </c>
      <c r="D54" s="1" t="s">
        <v>10</v>
      </c>
      <c r="E54" s="2">
        <v>44607</v>
      </c>
      <c r="F54" s="1" t="s">
        <v>9</v>
      </c>
      <c r="G54" s="1">
        <v>60570</v>
      </c>
    </row>
    <row r="55" spans="1:7" x14ac:dyDescent="0.3">
      <c r="A55" s="1" t="s">
        <v>163</v>
      </c>
      <c r="B55" s="1" t="s">
        <v>5</v>
      </c>
      <c r="C55" s="1">
        <v>33</v>
      </c>
      <c r="D55" s="1" t="s">
        <v>10</v>
      </c>
      <c r="E55" s="2">
        <v>44103</v>
      </c>
      <c r="F55" s="1" t="s">
        <v>9</v>
      </c>
      <c r="G55" s="1">
        <v>115920</v>
      </c>
    </row>
    <row r="56" spans="1:7" x14ac:dyDescent="0.3">
      <c r="A56" s="1" t="s">
        <v>164</v>
      </c>
      <c r="B56" s="1" t="s">
        <v>12</v>
      </c>
      <c r="C56" s="1">
        <v>33</v>
      </c>
      <c r="D56" s="1" t="s">
        <v>10</v>
      </c>
      <c r="E56" s="2">
        <v>44006</v>
      </c>
      <c r="F56" s="1" t="s">
        <v>14</v>
      </c>
      <c r="G56" s="1">
        <v>65360</v>
      </c>
    </row>
    <row r="57" spans="1:7" x14ac:dyDescent="0.3">
      <c r="A57" s="1" t="s">
        <v>165</v>
      </c>
      <c r="C57" s="1">
        <v>30</v>
      </c>
      <c r="D57" s="1" t="s">
        <v>10</v>
      </c>
      <c r="E57" s="2">
        <v>44535</v>
      </c>
      <c r="F57" s="1" t="s">
        <v>14</v>
      </c>
      <c r="G57" s="1">
        <v>64000</v>
      </c>
    </row>
    <row r="58" spans="1:7" x14ac:dyDescent="0.3">
      <c r="A58" s="1" t="s">
        <v>166</v>
      </c>
      <c r="B58" s="1" t="s">
        <v>12</v>
      </c>
      <c r="C58" s="1">
        <v>34</v>
      </c>
      <c r="D58" s="1" t="s">
        <v>10</v>
      </c>
      <c r="E58" s="2">
        <v>44383</v>
      </c>
      <c r="F58" s="1" t="s">
        <v>14</v>
      </c>
      <c r="G58" s="1">
        <v>92450</v>
      </c>
    </row>
    <row r="59" spans="1:7" x14ac:dyDescent="0.3">
      <c r="A59" s="1" t="s">
        <v>167</v>
      </c>
      <c r="B59" s="1" t="s">
        <v>5</v>
      </c>
      <c r="C59" s="1">
        <v>31</v>
      </c>
      <c r="D59" s="1" t="s">
        <v>10</v>
      </c>
      <c r="E59" s="2">
        <v>44450</v>
      </c>
      <c r="F59" s="1" t="s">
        <v>20</v>
      </c>
      <c r="G59" s="1">
        <v>48950</v>
      </c>
    </row>
    <row r="60" spans="1:7" ht="28.8" x14ac:dyDescent="0.3">
      <c r="A60" s="1" t="s">
        <v>168</v>
      </c>
      <c r="B60" s="1" t="s">
        <v>12</v>
      </c>
      <c r="C60" s="1">
        <v>27</v>
      </c>
      <c r="D60" s="1" t="s">
        <v>10</v>
      </c>
      <c r="E60" s="2">
        <v>44625</v>
      </c>
      <c r="F60" s="1" t="s">
        <v>20</v>
      </c>
      <c r="G60" s="1">
        <v>83750</v>
      </c>
    </row>
    <row r="61" spans="1:7" x14ac:dyDescent="0.3">
      <c r="A61" s="1" t="s">
        <v>169</v>
      </c>
      <c r="B61" s="1" t="s">
        <v>12</v>
      </c>
      <c r="C61" s="1">
        <v>40</v>
      </c>
      <c r="D61" s="1" t="s">
        <v>10</v>
      </c>
      <c r="E61" s="2">
        <v>44276</v>
      </c>
      <c r="F61" s="1" t="s">
        <v>20</v>
      </c>
      <c r="G61" s="1">
        <v>87620</v>
      </c>
    </row>
    <row r="62" spans="1:7" ht="28.8" x14ac:dyDescent="0.3">
      <c r="A62" s="1" t="s">
        <v>170</v>
      </c>
      <c r="B62" s="1" t="s">
        <v>12</v>
      </c>
      <c r="C62" s="1">
        <v>20</v>
      </c>
      <c r="D62" s="1" t="s">
        <v>15</v>
      </c>
      <c r="E62" s="2">
        <v>44476</v>
      </c>
      <c r="F62" s="1" t="s">
        <v>6</v>
      </c>
      <c r="G62" s="1">
        <v>68900</v>
      </c>
    </row>
    <row r="63" spans="1:7" x14ac:dyDescent="0.3">
      <c r="A63" s="1" t="s">
        <v>171</v>
      </c>
      <c r="B63" s="1" t="s">
        <v>5</v>
      </c>
      <c r="C63" s="1">
        <v>32</v>
      </c>
      <c r="D63" s="1" t="s">
        <v>10</v>
      </c>
      <c r="E63" s="2">
        <v>44403</v>
      </c>
      <c r="F63" s="1" t="s">
        <v>6</v>
      </c>
      <c r="G63" s="1">
        <v>53540</v>
      </c>
    </row>
    <row r="64" spans="1:7" ht="28.8" x14ac:dyDescent="0.3">
      <c r="A64" s="1" t="s">
        <v>172</v>
      </c>
      <c r="B64" s="1" t="s">
        <v>5</v>
      </c>
      <c r="C64" s="1">
        <v>28</v>
      </c>
      <c r="D64" s="1" t="s">
        <v>46</v>
      </c>
      <c r="E64" s="2">
        <v>44758</v>
      </c>
      <c r="F64" s="1" t="s">
        <v>6</v>
      </c>
      <c r="G64" s="1">
        <v>43510</v>
      </c>
    </row>
    <row r="65" spans="1:7" ht="28.8" x14ac:dyDescent="0.3">
      <c r="A65" s="1" t="s">
        <v>173</v>
      </c>
      <c r="B65" s="1" t="s">
        <v>12</v>
      </c>
      <c r="C65" s="1">
        <v>38</v>
      </c>
      <c r="D65" s="1" t="s">
        <v>40</v>
      </c>
      <c r="E65" s="2">
        <v>44316</v>
      </c>
      <c r="F65" s="1" t="s">
        <v>6</v>
      </c>
      <c r="G65" s="1">
        <v>109160</v>
      </c>
    </row>
    <row r="66" spans="1:7" x14ac:dyDescent="0.3">
      <c r="A66" s="1" t="s">
        <v>174</v>
      </c>
      <c r="B66" s="1" t="s">
        <v>5</v>
      </c>
      <c r="C66" s="1">
        <v>40</v>
      </c>
      <c r="D66" s="1" t="s">
        <v>10</v>
      </c>
      <c r="E66" s="2">
        <v>44204</v>
      </c>
      <c r="F66" s="1" t="s">
        <v>9</v>
      </c>
      <c r="G66" s="1">
        <v>99750</v>
      </c>
    </row>
    <row r="67" spans="1:7" x14ac:dyDescent="0.3">
      <c r="A67" s="1" t="s">
        <v>175</v>
      </c>
      <c r="B67" s="1" t="s">
        <v>12</v>
      </c>
      <c r="C67" s="1">
        <v>31</v>
      </c>
      <c r="D67" s="1" t="s">
        <v>10</v>
      </c>
      <c r="E67" s="2">
        <v>44084</v>
      </c>
      <c r="F67" s="1" t="s">
        <v>20</v>
      </c>
      <c r="G67" s="1">
        <v>41980</v>
      </c>
    </row>
    <row r="68" spans="1:7" x14ac:dyDescent="0.3">
      <c r="A68" s="1" t="s">
        <v>176</v>
      </c>
      <c r="B68" s="1" t="s">
        <v>5</v>
      </c>
      <c r="C68" s="1">
        <v>36</v>
      </c>
      <c r="D68" s="1" t="s">
        <v>10</v>
      </c>
      <c r="E68" s="2">
        <v>44272</v>
      </c>
      <c r="F68" s="1" t="s">
        <v>14</v>
      </c>
      <c r="G68" s="1">
        <v>71380</v>
      </c>
    </row>
    <row r="69" spans="1:7" ht="28.8" x14ac:dyDescent="0.3">
      <c r="A69" s="1" t="s">
        <v>177</v>
      </c>
      <c r="B69" s="1" t="s">
        <v>5</v>
      </c>
      <c r="C69" s="1">
        <v>27</v>
      </c>
      <c r="D69" s="1" t="s">
        <v>46</v>
      </c>
      <c r="E69" s="2">
        <v>44547</v>
      </c>
      <c r="F69" s="1" t="s">
        <v>9</v>
      </c>
      <c r="G69" s="1">
        <v>113280</v>
      </c>
    </row>
    <row r="70" spans="1:7" ht="28.8" x14ac:dyDescent="0.3">
      <c r="A70" s="1" t="s">
        <v>178</v>
      </c>
      <c r="B70" s="1" t="s">
        <v>12</v>
      </c>
      <c r="C70" s="1">
        <v>33</v>
      </c>
      <c r="D70" s="1" t="s">
        <v>10</v>
      </c>
      <c r="E70" s="2">
        <v>44747</v>
      </c>
      <c r="F70" s="1" t="s">
        <v>14</v>
      </c>
      <c r="G70" s="1">
        <v>86570</v>
      </c>
    </row>
    <row r="71" spans="1:7" x14ac:dyDescent="0.3">
      <c r="A71" s="1" t="s">
        <v>179</v>
      </c>
      <c r="B71" s="1" t="s">
        <v>5</v>
      </c>
      <c r="C71" s="1">
        <v>26</v>
      </c>
      <c r="D71" s="1" t="s">
        <v>10</v>
      </c>
      <c r="E71" s="2">
        <v>44350</v>
      </c>
      <c r="F71" s="1" t="s">
        <v>9</v>
      </c>
      <c r="G71" s="1">
        <v>53540</v>
      </c>
    </row>
    <row r="72" spans="1:7" ht="28.8" x14ac:dyDescent="0.3">
      <c r="A72" s="1" t="s">
        <v>180</v>
      </c>
      <c r="B72" s="1" t="s">
        <v>5</v>
      </c>
      <c r="C72" s="1">
        <v>37</v>
      </c>
      <c r="D72" s="1" t="s">
        <v>10</v>
      </c>
      <c r="E72" s="2">
        <v>44640</v>
      </c>
      <c r="F72" s="1" t="s">
        <v>20</v>
      </c>
      <c r="G72" s="1">
        <v>69070</v>
      </c>
    </row>
    <row r="73" spans="1:7" x14ac:dyDescent="0.3">
      <c r="A73" s="1" t="s">
        <v>181</v>
      </c>
      <c r="B73" s="1" t="s">
        <v>12</v>
      </c>
      <c r="C73" s="1">
        <v>30</v>
      </c>
      <c r="D73" s="1" t="s">
        <v>15</v>
      </c>
      <c r="E73" s="2">
        <v>44328</v>
      </c>
      <c r="F73" s="1" t="s">
        <v>14</v>
      </c>
      <c r="G73" s="1">
        <v>67910</v>
      </c>
    </row>
    <row r="74" spans="1:7" x14ac:dyDescent="0.3">
      <c r="A74" s="1" t="s">
        <v>182</v>
      </c>
      <c r="B74" s="1" t="s">
        <v>5</v>
      </c>
      <c r="C74" s="1">
        <v>30</v>
      </c>
      <c r="D74" s="1" t="s">
        <v>10</v>
      </c>
      <c r="E74" s="2">
        <v>44214</v>
      </c>
      <c r="F74" s="1" t="s">
        <v>20</v>
      </c>
      <c r="G74" s="1">
        <v>69120</v>
      </c>
    </row>
    <row r="75" spans="1:7" x14ac:dyDescent="0.3">
      <c r="A75" s="1" t="s">
        <v>183</v>
      </c>
      <c r="B75" s="1" t="s">
        <v>12</v>
      </c>
      <c r="C75" s="1">
        <v>34</v>
      </c>
      <c r="D75" s="1" t="s">
        <v>10</v>
      </c>
      <c r="E75" s="2">
        <v>44550</v>
      </c>
      <c r="F75" s="1" t="s">
        <v>14</v>
      </c>
      <c r="G75" s="1">
        <v>60130</v>
      </c>
    </row>
    <row r="76" spans="1:7" ht="28.8" x14ac:dyDescent="0.3">
      <c r="A76" s="1" t="s">
        <v>184</v>
      </c>
      <c r="B76" s="1" t="s">
        <v>5</v>
      </c>
      <c r="C76" s="1">
        <v>23</v>
      </c>
      <c r="D76" s="1" t="s">
        <v>10</v>
      </c>
      <c r="E76" s="2">
        <v>44378</v>
      </c>
      <c r="F76" s="1" t="s">
        <v>9</v>
      </c>
      <c r="G76" s="1">
        <v>106460</v>
      </c>
    </row>
    <row r="77" spans="1:7" ht="28.8" x14ac:dyDescent="0.3">
      <c r="A77" s="1" t="s">
        <v>185</v>
      </c>
      <c r="B77" s="1" t="s">
        <v>12</v>
      </c>
      <c r="C77" s="1">
        <v>37</v>
      </c>
      <c r="D77" s="1" t="s">
        <v>10</v>
      </c>
      <c r="E77" s="2">
        <v>44389</v>
      </c>
      <c r="F77" s="1" t="s">
        <v>23</v>
      </c>
      <c r="G77" s="1">
        <v>118100</v>
      </c>
    </row>
    <row r="78" spans="1:7" x14ac:dyDescent="0.3">
      <c r="A78" s="1" t="s">
        <v>186</v>
      </c>
      <c r="B78" s="1" t="s">
        <v>12</v>
      </c>
      <c r="C78" s="1">
        <v>36</v>
      </c>
      <c r="D78" s="1" t="s">
        <v>10</v>
      </c>
      <c r="E78" s="2">
        <v>44468</v>
      </c>
      <c r="F78" s="1" t="s">
        <v>9</v>
      </c>
      <c r="G78" s="1">
        <v>78390</v>
      </c>
    </row>
    <row r="79" spans="1:7" x14ac:dyDescent="0.3">
      <c r="A79" s="1" t="s">
        <v>187</v>
      </c>
      <c r="B79" s="1" t="s">
        <v>12</v>
      </c>
      <c r="C79" s="1">
        <v>30</v>
      </c>
      <c r="D79" s="1" t="s">
        <v>10</v>
      </c>
      <c r="E79" s="2">
        <v>44789</v>
      </c>
      <c r="F79" s="1" t="s">
        <v>9</v>
      </c>
      <c r="G79" s="1">
        <v>114180</v>
      </c>
    </row>
    <row r="80" spans="1:7" x14ac:dyDescent="0.3">
      <c r="A80" s="1" t="s">
        <v>188</v>
      </c>
      <c r="B80" s="1" t="s">
        <v>12</v>
      </c>
      <c r="C80" s="1">
        <v>28</v>
      </c>
      <c r="D80" s="1" t="s">
        <v>10</v>
      </c>
      <c r="E80" s="2">
        <v>44590</v>
      </c>
      <c r="F80" s="1" t="s">
        <v>9</v>
      </c>
      <c r="G80" s="1">
        <v>104120</v>
      </c>
    </row>
    <row r="81" spans="1:7" x14ac:dyDescent="0.3">
      <c r="A81" s="1" t="s">
        <v>189</v>
      </c>
      <c r="B81" s="1" t="s">
        <v>5</v>
      </c>
      <c r="C81" s="1">
        <v>30</v>
      </c>
      <c r="D81" s="1" t="s">
        <v>10</v>
      </c>
      <c r="E81" s="2">
        <v>44640</v>
      </c>
      <c r="F81" s="1" t="s">
        <v>9</v>
      </c>
      <c r="G81" s="1">
        <v>67950</v>
      </c>
    </row>
    <row r="82" spans="1:7" ht="28.8" x14ac:dyDescent="0.3">
      <c r="A82" s="1" t="s">
        <v>190</v>
      </c>
      <c r="B82" s="1" t="s">
        <v>12</v>
      </c>
      <c r="C82" s="1">
        <v>29</v>
      </c>
      <c r="D82" s="1" t="s">
        <v>10</v>
      </c>
      <c r="E82" s="2">
        <v>43962</v>
      </c>
      <c r="F82" s="1" t="s">
        <v>20</v>
      </c>
      <c r="G82" s="1">
        <v>34980</v>
      </c>
    </row>
    <row r="83" spans="1:7" ht="28.8" x14ac:dyDescent="0.3">
      <c r="A83" s="1" t="s">
        <v>191</v>
      </c>
      <c r="B83" s="1" t="s">
        <v>12</v>
      </c>
      <c r="C83" s="1">
        <v>24</v>
      </c>
      <c r="D83" s="1" t="s">
        <v>10</v>
      </c>
      <c r="E83" s="2">
        <v>44087</v>
      </c>
      <c r="F83" s="1" t="s">
        <v>20</v>
      </c>
      <c r="G83" s="1">
        <v>62780</v>
      </c>
    </row>
    <row r="84" spans="1:7" x14ac:dyDescent="0.3">
      <c r="A84" s="1" t="s">
        <v>192</v>
      </c>
      <c r="B84" s="1" t="s">
        <v>5</v>
      </c>
      <c r="C84" s="1">
        <v>20</v>
      </c>
      <c r="D84" s="1" t="s">
        <v>10</v>
      </c>
      <c r="E84" s="2">
        <v>44397</v>
      </c>
      <c r="F84" s="1" t="s">
        <v>20</v>
      </c>
      <c r="G84" s="1">
        <v>107700</v>
      </c>
    </row>
    <row r="85" spans="1:7" x14ac:dyDescent="0.3">
      <c r="A85" s="1" t="s">
        <v>193</v>
      </c>
      <c r="B85" s="1" t="s">
        <v>5</v>
      </c>
      <c r="C85" s="1">
        <v>25</v>
      </c>
      <c r="D85" s="1" t="s">
        <v>10</v>
      </c>
      <c r="E85" s="2">
        <v>44322</v>
      </c>
      <c r="F85" s="1" t="s">
        <v>6</v>
      </c>
      <c r="G85" s="1">
        <v>65700</v>
      </c>
    </row>
    <row r="86" spans="1:7" ht="28.8" x14ac:dyDescent="0.3">
      <c r="A86" s="1" t="s">
        <v>194</v>
      </c>
      <c r="B86" s="1" t="s">
        <v>12</v>
      </c>
      <c r="C86" s="1">
        <v>33</v>
      </c>
      <c r="D86" s="1" t="s">
        <v>46</v>
      </c>
      <c r="E86" s="2">
        <v>44313</v>
      </c>
      <c r="F86" s="1" t="s">
        <v>20</v>
      </c>
      <c r="G86" s="1">
        <v>75480</v>
      </c>
    </row>
    <row r="87" spans="1:7" x14ac:dyDescent="0.3">
      <c r="A87" s="1" t="s">
        <v>195</v>
      </c>
      <c r="B87" s="1" t="s">
        <v>5</v>
      </c>
      <c r="C87" s="1">
        <v>33</v>
      </c>
      <c r="D87" s="1" t="s">
        <v>10</v>
      </c>
      <c r="E87" s="2">
        <v>44448</v>
      </c>
      <c r="F87" s="1" t="s">
        <v>20</v>
      </c>
      <c r="G87" s="1">
        <v>53870</v>
      </c>
    </row>
    <row r="88" spans="1:7" ht="28.8" x14ac:dyDescent="0.3">
      <c r="A88" s="1" t="s">
        <v>196</v>
      </c>
      <c r="B88" s="1" t="s">
        <v>12</v>
      </c>
      <c r="C88" s="1">
        <v>36</v>
      </c>
      <c r="D88" s="1" t="s">
        <v>10</v>
      </c>
      <c r="E88" s="2">
        <v>44433</v>
      </c>
      <c r="F88" s="1" t="s">
        <v>6</v>
      </c>
      <c r="G88" s="1">
        <v>78540</v>
      </c>
    </row>
    <row r="89" spans="1:7" x14ac:dyDescent="0.3">
      <c r="A89" s="1" t="s">
        <v>197</v>
      </c>
      <c r="B89" s="1" t="s">
        <v>5</v>
      </c>
      <c r="C89" s="1">
        <v>19</v>
      </c>
      <c r="D89" s="1" t="s">
        <v>10</v>
      </c>
      <c r="E89" s="2">
        <v>44218</v>
      </c>
      <c r="F89" s="1" t="s">
        <v>9</v>
      </c>
      <c r="G89" s="1">
        <v>58960</v>
      </c>
    </row>
    <row r="90" spans="1:7" ht="28.8" x14ac:dyDescent="0.3">
      <c r="A90" s="1" t="s">
        <v>198</v>
      </c>
      <c r="B90" s="1" t="s">
        <v>5</v>
      </c>
      <c r="C90" s="1">
        <v>46</v>
      </c>
      <c r="D90" s="1" t="s">
        <v>10</v>
      </c>
      <c r="E90" s="2">
        <v>44697</v>
      </c>
      <c r="F90" s="1" t="s">
        <v>9</v>
      </c>
      <c r="G90" s="1">
        <v>70610</v>
      </c>
    </row>
    <row r="91" spans="1:7" x14ac:dyDescent="0.3">
      <c r="A91" s="1" t="s">
        <v>199</v>
      </c>
      <c r="B91" s="1" t="s">
        <v>5</v>
      </c>
      <c r="C91" s="1">
        <v>33</v>
      </c>
      <c r="D91" s="1" t="s">
        <v>10</v>
      </c>
      <c r="E91" s="2">
        <v>44181</v>
      </c>
      <c r="F91" s="1" t="s">
        <v>14</v>
      </c>
      <c r="G91" s="1">
        <v>59430</v>
      </c>
    </row>
    <row r="92" spans="1:7" ht="28.8" x14ac:dyDescent="0.3">
      <c r="A92" s="1" t="s">
        <v>200</v>
      </c>
      <c r="B92" s="1" t="s">
        <v>5</v>
      </c>
      <c r="C92" s="1">
        <v>33</v>
      </c>
      <c r="D92" s="1" t="s">
        <v>7</v>
      </c>
      <c r="E92" s="2">
        <v>44640</v>
      </c>
      <c r="F92" s="1" t="s">
        <v>9</v>
      </c>
      <c r="G92" s="1">
        <v>48530</v>
      </c>
    </row>
    <row r="93" spans="1:7" x14ac:dyDescent="0.3">
      <c r="A93" s="1" t="s">
        <v>201</v>
      </c>
      <c r="B93" s="1" t="s">
        <v>12</v>
      </c>
      <c r="C93" s="1">
        <v>33</v>
      </c>
      <c r="D93" s="1" t="s">
        <v>10</v>
      </c>
      <c r="E93" s="2">
        <v>44129</v>
      </c>
      <c r="F93" s="1" t="s">
        <v>20</v>
      </c>
      <c r="G93" s="1">
        <v>96140</v>
      </c>
    </row>
    <row r="94" spans="1:7" x14ac:dyDescent="0.3">
      <c r="A94" s="1" t="s">
        <v>110</v>
      </c>
      <c r="B94" s="1" t="s">
        <v>5</v>
      </c>
      <c r="C94" s="1">
        <v>20</v>
      </c>
      <c r="D94" s="1" t="s">
        <v>10</v>
      </c>
      <c r="E94" s="2">
        <v>44122</v>
      </c>
      <c r="F94" s="1" t="s">
        <v>20</v>
      </c>
      <c r="G94" s="1">
        <v>112650</v>
      </c>
    </row>
    <row r="95" spans="1:7" ht="28.8" x14ac:dyDescent="0.3">
      <c r="A95" s="1" t="s">
        <v>111</v>
      </c>
      <c r="B95" s="1" t="s">
        <v>12</v>
      </c>
      <c r="C95" s="1">
        <v>32</v>
      </c>
      <c r="D95" s="1" t="s">
        <v>7</v>
      </c>
      <c r="E95" s="2">
        <v>44293</v>
      </c>
      <c r="F95" s="1" t="s">
        <v>20</v>
      </c>
      <c r="G95" s="1">
        <v>43840</v>
      </c>
    </row>
    <row r="96" spans="1:7" x14ac:dyDescent="0.3">
      <c r="A96" s="1" t="s">
        <v>112</v>
      </c>
      <c r="B96" s="1" t="s">
        <v>5</v>
      </c>
      <c r="C96" s="1">
        <v>31</v>
      </c>
      <c r="D96" s="1" t="s">
        <v>10</v>
      </c>
      <c r="E96" s="2">
        <v>44663</v>
      </c>
      <c r="F96" s="1" t="s">
        <v>9</v>
      </c>
      <c r="G96" s="1">
        <v>103550</v>
      </c>
    </row>
    <row r="97" spans="1:7" x14ac:dyDescent="0.3">
      <c r="A97" s="1" t="s">
        <v>113</v>
      </c>
      <c r="B97" s="1" t="s">
        <v>12</v>
      </c>
      <c r="C97" s="1">
        <v>32</v>
      </c>
      <c r="D97" s="1" t="s">
        <v>10</v>
      </c>
      <c r="E97" s="2">
        <v>44339</v>
      </c>
      <c r="F97" s="1" t="s">
        <v>23</v>
      </c>
      <c r="G97" s="1">
        <v>45510</v>
      </c>
    </row>
    <row r="98" spans="1:7" x14ac:dyDescent="0.3">
      <c r="A98" s="1" t="s">
        <v>114</v>
      </c>
      <c r="C98" s="1">
        <v>37</v>
      </c>
      <c r="D98" s="1" t="s">
        <v>15</v>
      </c>
      <c r="E98" s="2">
        <v>44085</v>
      </c>
      <c r="F98" s="1" t="s">
        <v>14</v>
      </c>
      <c r="G98" s="1">
        <v>115440</v>
      </c>
    </row>
    <row r="99" spans="1:7" ht="28.8" x14ac:dyDescent="0.3">
      <c r="A99" s="1" t="s">
        <v>115</v>
      </c>
      <c r="B99" s="1" t="s">
        <v>12</v>
      </c>
      <c r="C99" s="1">
        <v>38</v>
      </c>
      <c r="D99" s="1" t="s">
        <v>7</v>
      </c>
      <c r="E99" s="2">
        <v>44268</v>
      </c>
      <c r="F99" s="1" t="s">
        <v>6</v>
      </c>
      <c r="G99" s="1">
        <v>56870</v>
      </c>
    </row>
    <row r="100" spans="1:7" ht="28.8" x14ac:dyDescent="0.3">
      <c r="A100" s="1" t="s">
        <v>116</v>
      </c>
      <c r="B100" s="1" t="s">
        <v>12</v>
      </c>
      <c r="C100" s="1">
        <v>25</v>
      </c>
      <c r="D100" s="1" t="s">
        <v>10</v>
      </c>
      <c r="E100" s="2">
        <v>44144</v>
      </c>
      <c r="F100" s="1" t="s">
        <v>6</v>
      </c>
      <c r="G100" s="1">
        <v>92700</v>
      </c>
    </row>
    <row r="101" spans="1:7" x14ac:dyDescent="0.3">
      <c r="A101" s="1" t="s">
        <v>117</v>
      </c>
      <c r="C101" s="1">
        <v>32</v>
      </c>
      <c r="D101" s="1" t="s">
        <v>10</v>
      </c>
      <c r="E101" s="2">
        <v>44713</v>
      </c>
      <c r="F101" s="1" t="s">
        <v>20</v>
      </c>
      <c r="G101" s="1">
        <v>91310</v>
      </c>
    </row>
    <row r="102" spans="1:7" x14ac:dyDescent="0.3">
      <c r="A102" s="1" t="s">
        <v>118</v>
      </c>
      <c r="B102" s="1" t="s">
        <v>5</v>
      </c>
      <c r="C102" s="1">
        <v>33</v>
      </c>
      <c r="D102" s="1" t="s">
        <v>10</v>
      </c>
      <c r="E102" s="2">
        <v>44324</v>
      </c>
      <c r="F102" s="1" t="s">
        <v>6</v>
      </c>
      <c r="G102" s="1">
        <v>74550</v>
      </c>
    </row>
    <row r="103" spans="1:7" ht="28.8" x14ac:dyDescent="0.3">
      <c r="A103" s="1" t="s">
        <v>119</v>
      </c>
      <c r="B103" s="1" t="s">
        <v>5</v>
      </c>
      <c r="C103" s="1">
        <v>25</v>
      </c>
      <c r="D103" s="1" t="s">
        <v>7</v>
      </c>
      <c r="E103" s="2">
        <v>44665</v>
      </c>
      <c r="F103" s="1" t="s">
        <v>9</v>
      </c>
      <c r="G103" s="1">
        <v>109190</v>
      </c>
    </row>
    <row r="104" spans="1:7" x14ac:dyDescent="0.3">
      <c r="A104" s="1" t="s">
        <v>120</v>
      </c>
      <c r="B104" s="1" t="s">
        <v>12</v>
      </c>
      <c r="C104" s="1">
        <v>40</v>
      </c>
      <c r="D104" s="1" t="s">
        <v>10</v>
      </c>
      <c r="E104" s="2">
        <v>44320</v>
      </c>
      <c r="F104" s="1" t="s">
        <v>20</v>
      </c>
      <c r="G104" s="1">
        <v>104410</v>
      </c>
    </row>
    <row r="105" spans="1:7" x14ac:dyDescent="0.3">
      <c r="A105" s="1" t="s">
        <v>121</v>
      </c>
      <c r="B105" s="1" t="s">
        <v>5</v>
      </c>
      <c r="C105" s="1">
        <v>30</v>
      </c>
      <c r="D105" s="1" t="s">
        <v>10</v>
      </c>
      <c r="E105" s="2">
        <v>44544</v>
      </c>
      <c r="F105" s="1" t="s">
        <v>14</v>
      </c>
      <c r="G105" s="1">
        <v>96800</v>
      </c>
    </row>
    <row r="106" spans="1:7" ht="28.8" x14ac:dyDescent="0.3">
      <c r="A106" s="1" t="s">
        <v>122</v>
      </c>
      <c r="B106" s="1" t="s">
        <v>5</v>
      </c>
      <c r="C106" s="1">
        <v>28</v>
      </c>
      <c r="D106" s="1" t="s">
        <v>7</v>
      </c>
      <c r="E106" s="2">
        <v>43980</v>
      </c>
      <c r="F106" s="1" t="s">
        <v>14</v>
      </c>
      <c r="G106" s="1">
        <v>48170</v>
      </c>
    </row>
    <row r="107" spans="1:7" x14ac:dyDescent="0.3">
      <c r="A107" s="1" t="s">
        <v>123</v>
      </c>
      <c r="B107" s="1" t="s">
        <v>5</v>
      </c>
      <c r="C107" s="1">
        <v>21</v>
      </c>
      <c r="D107" s="1" t="s">
        <v>10</v>
      </c>
      <c r="E107" s="2">
        <v>44042</v>
      </c>
      <c r="F107" s="1" t="s">
        <v>9</v>
      </c>
      <c r="G107" s="1">
        <v>37920</v>
      </c>
    </row>
    <row r="108" spans="1:7" x14ac:dyDescent="0.3">
      <c r="A108" s="1" t="s">
        <v>124</v>
      </c>
      <c r="B108" s="1" t="s">
        <v>5</v>
      </c>
      <c r="C108" s="1">
        <v>34</v>
      </c>
      <c r="D108" s="1" t="s">
        <v>10</v>
      </c>
      <c r="E108" s="2">
        <v>44642</v>
      </c>
      <c r="F108" s="1" t="s">
        <v>9</v>
      </c>
      <c r="G108" s="1">
        <v>112650</v>
      </c>
    </row>
    <row r="109" spans="1:7" x14ac:dyDescent="0.3">
      <c r="A109" s="1" t="s">
        <v>125</v>
      </c>
      <c r="B109" s="1" t="s">
        <v>12</v>
      </c>
      <c r="C109" s="1">
        <v>34</v>
      </c>
      <c r="D109" s="1" t="s">
        <v>15</v>
      </c>
      <c r="E109" s="2">
        <v>44660</v>
      </c>
      <c r="F109" s="1" t="s">
        <v>6</v>
      </c>
      <c r="G109" s="1">
        <v>49630</v>
      </c>
    </row>
    <row r="110" spans="1:7" x14ac:dyDescent="0.3">
      <c r="A110" s="1" t="s">
        <v>126</v>
      </c>
      <c r="B110" s="1" t="s">
        <v>5</v>
      </c>
      <c r="C110" s="1">
        <v>36</v>
      </c>
      <c r="D110" s="1" t="s">
        <v>10</v>
      </c>
      <c r="E110" s="2">
        <v>43958</v>
      </c>
      <c r="F110" s="1" t="s">
        <v>20</v>
      </c>
      <c r="G110" s="1">
        <v>118840</v>
      </c>
    </row>
    <row r="111" spans="1:7" x14ac:dyDescent="0.3">
      <c r="A111" s="1" t="s">
        <v>127</v>
      </c>
      <c r="B111" s="1" t="s">
        <v>5</v>
      </c>
      <c r="C111" s="1">
        <v>30</v>
      </c>
      <c r="D111" s="1" t="s">
        <v>10</v>
      </c>
      <c r="E111" s="2">
        <v>44789</v>
      </c>
      <c r="F111" s="1" t="s">
        <v>20</v>
      </c>
      <c r="G111" s="1">
        <v>69710</v>
      </c>
    </row>
    <row r="112" spans="1:7" x14ac:dyDescent="0.3">
      <c r="A112" s="1" t="s">
        <v>128</v>
      </c>
      <c r="B112" s="1" t="s">
        <v>5</v>
      </c>
      <c r="C112" s="1">
        <v>20</v>
      </c>
      <c r="D112" s="1" t="s">
        <v>10</v>
      </c>
      <c r="E112" s="2">
        <v>44683</v>
      </c>
      <c r="F112" s="1" t="s">
        <v>9</v>
      </c>
      <c r="G112" s="1">
        <v>79570</v>
      </c>
    </row>
    <row r="113" spans="1:7" ht="28.8" x14ac:dyDescent="0.3">
      <c r="A113" s="1" t="s">
        <v>129</v>
      </c>
      <c r="B113" s="1" t="s">
        <v>12</v>
      </c>
      <c r="C113" s="1">
        <v>22</v>
      </c>
      <c r="D113" s="1" t="s">
        <v>7</v>
      </c>
      <c r="E113" s="2">
        <v>44388</v>
      </c>
      <c r="F113" s="1" t="s">
        <v>9</v>
      </c>
      <c r="G113" s="1">
        <v>76900</v>
      </c>
    </row>
    <row r="114" spans="1:7" x14ac:dyDescent="0.3">
      <c r="A114" s="1" t="s">
        <v>202</v>
      </c>
      <c r="G114" s="1">
        <f>SUBTOTAL(109,India_staff[Salary])</f>
        <v>8757930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8C236-172E-4EFE-BB96-B09801C9087E}">
  <sheetPr>
    <tabColor rgb="FFFFFF00"/>
  </sheetPr>
  <dimension ref="A1:V180"/>
  <sheetViews>
    <sheetView topLeftCell="A2" zoomScaleNormal="100" zoomScaleSheetLayoutView="100" workbookViewId="0">
      <selection activeCell="F22" sqref="F22"/>
    </sheetView>
  </sheetViews>
  <sheetFormatPr defaultRowHeight="14.4" x14ac:dyDescent="0.3"/>
  <cols>
    <col min="1" max="1" width="27.21875" bestFit="1" customWidth="1"/>
    <col min="2" max="2" width="9.33203125" bestFit="1" customWidth="1"/>
    <col min="3" max="3" width="13.33203125" bestFit="1" customWidth="1"/>
    <col min="4" max="4" width="6.44140625" bestFit="1" customWidth="1"/>
    <col min="5" max="5" width="12.88671875" bestFit="1" customWidth="1"/>
    <col min="6" max="6" width="11.88671875" style="4" bestFit="1" customWidth="1"/>
    <col min="7" max="7" width="13.109375" bestFit="1" customWidth="1"/>
    <col min="8" max="8" width="9.6640625" bestFit="1" customWidth="1"/>
    <col min="9" max="9" width="10.33203125" style="8" bestFit="1" customWidth="1"/>
    <col min="10" max="10" width="12.44140625" customWidth="1"/>
    <col min="11" max="11" width="12.44140625" style="5" customWidth="1"/>
    <col min="13" max="13" width="33.33203125" customWidth="1"/>
    <col min="15" max="16" width="10.44140625" bestFit="1" customWidth="1"/>
  </cols>
  <sheetData>
    <row r="1" spans="1:16" x14ac:dyDescent="0.3">
      <c r="A1" s="5" t="s">
        <v>0</v>
      </c>
      <c r="B1" s="5" t="s">
        <v>1</v>
      </c>
      <c r="C1" s="5" t="s">
        <v>2</v>
      </c>
      <c r="D1" s="5" t="s">
        <v>108</v>
      </c>
      <c r="E1" s="5" t="s">
        <v>203</v>
      </c>
      <c r="F1" s="4" t="s">
        <v>107</v>
      </c>
      <c r="G1" s="5" t="s">
        <v>3</v>
      </c>
      <c r="H1" s="5" t="s">
        <v>204</v>
      </c>
      <c r="I1" s="8" t="s">
        <v>215</v>
      </c>
      <c r="J1" t="s">
        <v>238</v>
      </c>
      <c r="K1" s="5" t="s">
        <v>244</v>
      </c>
    </row>
    <row r="2" spans="1:16" ht="16.8" customHeight="1" x14ac:dyDescent="0.3">
      <c r="A2" s="5" t="s">
        <v>4</v>
      </c>
      <c r="B2" s="5" t="s">
        <v>5</v>
      </c>
      <c r="C2" s="5" t="s">
        <v>6</v>
      </c>
      <c r="D2" s="5">
        <v>22</v>
      </c>
      <c r="E2" s="3">
        <v>44446</v>
      </c>
      <c r="F2" s="4">
        <v>112780</v>
      </c>
      <c r="G2" s="5" t="s">
        <v>7</v>
      </c>
      <c r="H2" s="5" t="s">
        <v>214</v>
      </c>
      <c r="I2" s="8">
        <f ca="1">(TODAY()-Append1[[#This Row],[Date joined]])/365</f>
        <v>2.591780821917808</v>
      </c>
      <c r="J2" s="4">
        <f ca="1">ROUND(IF(Append1[[#This Row],[tenure]]&gt;2,3%,2%)*Append1[[#This Row],[Salary]],0)</f>
        <v>3383</v>
      </c>
      <c r="K2" s="5">
        <f>VLOOKUP(Append1[[#This Row],[Rating]],Table7[],2,0)</f>
        <v>4</v>
      </c>
      <c r="M2" s="20" t="s">
        <v>208</v>
      </c>
      <c r="N2" s="18" t="s">
        <v>207</v>
      </c>
      <c r="O2" s="18"/>
    </row>
    <row r="3" spans="1:16" ht="18" x14ac:dyDescent="0.35">
      <c r="A3" s="5" t="s">
        <v>8</v>
      </c>
      <c r="B3" s="5" t="s">
        <v>5</v>
      </c>
      <c r="C3" s="5" t="s">
        <v>9</v>
      </c>
      <c r="D3" s="5">
        <v>46</v>
      </c>
      <c r="E3" s="3">
        <v>44758</v>
      </c>
      <c r="F3" s="4">
        <v>70610</v>
      </c>
      <c r="G3" s="5" t="s">
        <v>10</v>
      </c>
      <c r="H3" s="5" t="s">
        <v>214</v>
      </c>
      <c r="I3" s="8">
        <f ca="1">(TODAY()-Append1[[#This Row],[Date joined]])/365</f>
        <v>1.736986301369863</v>
      </c>
      <c r="J3" s="4">
        <f ca="1">ROUND(IF(Append1[[#This Row],[tenure]]&gt;2,3%,2%)*Append1[[#This Row],[Salary]],0)</f>
        <v>1412</v>
      </c>
      <c r="K3" s="5">
        <f>VLOOKUP(Append1[[#This Row],[Rating]],Table7[],2,0)</f>
        <v>3</v>
      </c>
      <c r="N3" s="6"/>
      <c r="O3" s="6"/>
    </row>
    <row r="4" spans="1:16" x14ac:dyDescent="0.3">
      <c r="A4" s="5" t="s">
        <v>11</v>
      </c>
      <c r="B4" s="5" t="s">
        <v>12</v>
      </c>
      <c r="C4" s="5" t="s">
        <v>6</v>
      </c>
      <c r="D4" s="5">
        <v>28</v>
      </c>
      <c r="E4" s="3">
        <v>44357</v>
      </c>
      <c r="F4" s="4">
        <v>53240</v>
      </c>
      <c r="G4" s="5" t="s">
        <v>10</v>
      </c>
      <c r="H4" s="5" t="s">
        <v>214</v>
      </c>
      <c r="I4" s="8">
        <f ca="1">(TODAY()-Append1[[#This Row],[Date joined]])/365</f>
        <v>2.8356164383561642</v>
      </c>
      <c r="J4" s="4">
        <f ca="1">ROUND(IF(Append1[[#This Row],[tenure]]&gt;2,3%,2%)*Append1[[#This Row],[Salary]],0)</f>
        <v>1597</v>
      </c>
      <c r="K4" s="5">
        <f>VLOOKUP(Append1[[#This Row],[Rating]],Table7[],2,0)</f>
        <v>3</v>
      </c>
      <c r="M4" s="16" t="s">
        <v>209</v>
      </c>
      <c r="N4" s="12"/>
      <c r="O4" s="12">
        <f>COUNTA(A:A)</f>
        <v>180</v>
      </c>
      <c r="P4" s="12"/>
    </row>
    <row r="5" spans="1:16" x14ac:dyDescent="0.3">
      <c r="A5" s="5" t="s">
        <v>16</v>
      </c>
      <c r="B5" s="5" t="s">
        <v>5</v>
      </c>
      <c r="C5" s="5" t="s">
        <v>6</v>
      </c>
      <c r="D5" s="5">
        <v>32</v>
      </c>
      <c r="E5" s="3">
        <v>44465</v>
      </c>
      <c r="F5" s="4">
        <v>53540</v>
      </c>
      <c r="G5" s="5" t="s">
        <v>10</v>
      </c>
      <c r="H5" s="5" t="s">
        <v>214</v>
      </c>
      <c r="I5" s="8">
        <f ca="1">(TODAY()-Append1[[#This Row],[Date joined]])/365</f>
        <v>2.5397260273972604</v>
      </c>
      <c r="J5" s="4">
        <f ca="1">ROUND(IF(Append1[[#This Row],[tenure]]&gt;2,3%,2%)*Append1[[#This Row],[Salary]],0)</f>
        <v>1606</v>
      </c>
      <c r="K5" s="5">
        <f>VLOOKUP(Append1[[#This Row],[Rating]],Table7[],2,0)</f>
        <v>3</v>
      </c>
      <c r="M5" s="16" t="s">
        <v>210</v>
      </c>
      <c r="N5" s="12"/>
      <c r="O5" s="13">
        <f>AVERAGE(F:F)</f>
        <v>76878.994413407825</v>
      </c>
      <c r="P5" s="13">
        <f>MEDIAN(F:F)</f>
        <v>75000</v>
      </c>
    </row>
    <row r="6" spans="1:16" x14ac:dyDescent="0.3">
      <c r="A6" s="5" t="s">
        <v>17</v>
      </c>
      <c r="B6" s="5" t="s">
        <v>12</v>
      </c>
      <c r="C6" s="5" t="s">
        <v>9</v>
      </c>
      <c r="D6" s="5">
        <v>30</v>
      </c>
      <c r="E6" s="3">
        <v>44861</v>
      </c>
      <c r="F6" s="4">
        <v>112570</v>
      </c>
      <c r="G6" s="5" t="s">
        <v>10</v>
      </c>
      <c r="H6" s="5" t="s">
        <v>214</v>
      </c>
      <c r="I6" s="8">
        <f ca="1">(TODAY()-Append1[[#This Row],[Date joined]])/365</f>
        <v>1.4547945205479451</v>
      </c>
      <c r="J6" s="4">
        <f ca="1">ROUND(IF(Append1[[#This Row],[tenure]]&gt;2,3%,2%)*Append1[[#This Row],[Salary]],0)</f>
        <v>2251</v>
      </c>
      <c r="K6" s="5">
        <f>VLOOKUP(Append1[[#This Row],[Rating]],Table7[],2,0)</f>
        <v>3</v>
      </c>
      <c r="M6" s="16" t="s">
        <v>211</v>
      </c>
      <c r="N6" s="12"/>
      <c r="O6" s="14">
        <f>AVERAGE(D:D)</f>
        <v>30.407821229050278</v>
      </c>
      <c r="P6" s="12">
        <f>MEDIAN(D:D)</f>
        <v>30</v>
      </c>
    </row>
    <row r="7" spans="1:16" ht="36" x14ac:dyDescent="0.3">
      <c r="A7" s="5" t="s">
        <v>18</v>
      </c>
      <c r="B7" s="5" t="s">
        <v>5</v>
      </c>
      <c r="C7" s="5" t="s">
        <v>9</v>
      </c>
      <c r="D7" s="5">
        <v>33</v>
      </c>
      <c r="E7" s="3">
        <v>44701</v>
      </c>
      <c r="F7" s="4">
        <v>48530</v>
      </c>
      <c r="G7" s="5" t="s">
        <v>7</v>
      </c>
      <c r="H7" s="5" t="s">
        <v>214</v>
      </c>
      <c r="I7" s="8">
        <f ca="1">(TODAY()-Append1[[#This Row],[Date joined]])/365</f>
        <v>1.893150684931507</v>
      </c>
      <c r="J7" s="4">
        <f ca="1">ROUND(IF(Append1[[#This Row],[tenure]]&gt;2,3%,2%)*Append1[[#This Row],[Salary]],0)</f>
        <v>971</v>
      </c>
      <c r="K7" s="5">
        <f>VLOOKUP(Append1[[#This Row],[Rating]],Table7[],2,0)</f>
        <v>4</v>
      </c>
      <c r="M7" s="11" t="s">
        <v>212</v>
      </c>
      <c r="N7" s="12"/>
      <c r="O7" s="12">
        <f ca="1">AVERAGE(I:I)</f>
        <v>2.6281625468738037</v>
      </c>
      <c r="P7" s="15">
        <f ca="1">AVERAGE(I:I)</f>
        <v>2.6281625468738037</v>
      </c>
    </row>
    <row r="8" spans="1:16" x14ac:dyDescent="0.3">
      <c r="A8" s="5" t="s">
        <v>19</v>
      </c>
      <c r="B8" s="5" t="s">
        <v>12</v>
      </c>
      <c r="C8" s="5" t="s">
        <v>20</v>
      </c>
      <c r="D8" s="5">
        <v>24</v>
      </c>
      <c r="E8" s="3">
        <v>44148</v>
      </c>
      <c r="F8" s="4">
        <v>62780</v>
      </c>
      <c r="G8" s="5" t="s">
        <v>10</v>
      </c>
      <c r="H8" s="5" t="s">
        <v>214</v>
      </c>
      <c r="I8" s="8">
        <f ca="1">(TODAY()-Append1[[#This Row],[Date joined]])/365</f>
        <v>3.408219178082192</v>
      </c>
      <c r="J8" s="4">
        <f ca="1">ROUND(IF(Append1[[#This Row],[tenure]]&gt;2,3%,2%)*Append1[[#This Row],[Salary]],0)</f>
        <v>1883</v>
      </c>
      <c r="K8" s="5">
        <f>VLOOKUP(Append1[[#This Row],[Rating]],Table7[],2,0)</f>
        <v>3</v>
      </c>
      <c r="M8" s="16" t="s">
        <v>213</v>
      </c>
      <c r="N8" s="12"/>
      <c r="O8" s="12">
        <f>COUNTIFS(B:B,B4)</f>
        <v>86</v>
      </c>
      <c r="P8" s="12"/>
    </row>
    <row r="9" spans="1:16" x14ac:dyDescent="0.3">
      <c r="A9" s="5" t="s">
        <v>21</v>
      </c>
      <c r="B9" s="5" t="s">
        <v>5</v>
      </c>
      <c r="C9" s="5" t="s">
        <v>20</v>
      </c>
      <c r="D9" s="5">
        <v>33</v>
      </c>
      <c r="E9" s="3">
        <v>44509</v>
      </c>
      <c r="F9" s="4">
        <v>53870</v>
      </c>
      <c r="G9" s="5" t="s">
        <v>10</v>
      </c>
      <c r="H9" s="5" t="s">
        <v>214</v>
      </c>
      <c r="I9" s="8">
        <f ca="1">(TODAY()-Append1[[#This Row],[Date joined]])/365</f>
        <v>2.419178082191781</v>
      </c>
      <c r="J9" s="4">
        <f ca="1">ROUND(IF(Append1[[#This Row],[tenure]]&gt;2,3%,2%)*Append1[[#This Row],[Salary]],0)</f>
        <v>1616</v>
      </c>
      <c r="K9" s="5">
        <f>VLOOKUP(Append1[[#This Row],[Rating]],Table7[],2,0)</f>
        <v>3</v>
      </c>
      <c r="M9" s="16" t="s">
        <v>216</v>
      </c>
      <c r="N9" s="12"/>
      <c r="O9" s="15">
        <f>(86/180)*100</f>
        <v>47.777777777777779</v>
      </c>
      <c r="P9" s="12"/>
    </row>
    <row r="10" spans="1:16" ht="23.4" customHeight="1" x14ac:dyDescent="0.3">
      <c r="A10" s="5" t="s">
        <v>22</v>
      </c>
      <c r="B10" s="5" t="s">
        <v>12</v>
      </c>
      <c r="C10" s="5" t="s">
        <v>23</v>
      </c>
      <c r="D10" s="5">
        <v>27</v>
      </c>
      <c r="E10" s="3">
        <v>44122</v>
      </c>
      <c r="F10" s="4">
        <v>119110</v>
      </c>
      <c r="G10" s="5" t="s">
        <v>10</v>
      </c>
      <c r="H10" s="5" t="s">
        <v>214</v>
      </c>
      <c r="I10" s="8">
        <f ca="1">(TODAY()-Append1[[#This Row],[Date joined]])/365</f>
        <v>3.4794520547945207</v>
      </c>
      <c r="J10" s="4">
        <f ca="1">ROUND(IF(Append1[[#This Row],[tenure]]&gt;2,3%,2%)*Append1[[#This Row],[Salary]],0)</f>
        <v>3573</v>
      </c>
      <c r="K10" s="5">
        <f>VLOOKUP(Append1[[#This Row],[Rating]],Table7[],2,0)</f>
        <v>3</v>
      </c>
      <c r="M10" s="17"/>
      <c r="N10" s="17"/>
      <c r="O10" s="17"/>
    </row>
    <row r="11" spans="1:16" x14ac:dyDescent="0.3">
      <c r="A11" s="5" t="s">
        <v>24</v>
      </c>
      <c r="B11" s="5" t="s">
        <v>5</v>
      </c>
      <c r="C11" s="5" t="s">
        <v>20</v>
      </c>
      <c r="D11" s="5">
        <v>29</v>
      </c>
      <c r="E11" s="3">
        <v>44180</v>
      </c>
      <c r="F11" s="4">
        <v>112110</v>
      </c>
      <c r="G11" s="5" t="s">
        <v>15</v>
      </c>
      <c r="H11" s="5" t="s">
        <v>214</v>
      </c>
      <c r="I11" s="8">
        <f ca="1">(TODAY()-Append1[[#This Row],[Date joined]])/365</f>
        <v>3.3205479452054796</v>
      </c>
      <c r="J11" s="4">
        <f ca="1">ROUND(IF(Append1[[#This Row],[tenure]]&gt;2,3%,2%)*Append1[[#This Row],[Salary]],0)</f>
        <v>3363</v>
      </c>
      <c r="K11" s="5">
        <f>VLOOKUP(Append1[[#This Row],[Rating]],Table7[],2,0)</f>
        <v>2</v>
      </c>
      <c r="M11" s="16" t="s">
        <v>217</v>
      </c>
      <c r="N11" s="17"/>
      <c r="O11" s="17"/>
    </row>
    <row r="12" spans="1:16" x14ac:dyDescent="0.3">
      <c r="A12" s="5" t="s">
        <v>25</v>
      </c>
      <c r="B12" s="5" t="s">
        <v>5</v>
      </c>
      <c r="C12" s="5" t="s">
        <v>6</v>
      </c>
      <c r="D12" s="5">
        <v>25</v>
      </c>
      <c r="E12" s="3">
        <v>44383</v>
      </c>
      <c r="F12" s="4">
        <v>65700</v>
      </c>
      <c r="G12" s="5" t="s">
        <v>10</v>
      </c>
      <c r="H12" s="5" t="s">
        <v>214</v>
      </c>
      <c r="I12" s="8">
        <f ca="1">(TODAY()-Append1[[#This Row],[Date joined]])/365</f>
        <v>2.7643835616438355</v>
      </c>
      <c r="J12" s="4">
        <f ca="1">ROUND(IF(Append1[[#This Row],[tenure]]&gt;2,3%,2%)*Append1[[#This Row],[Salary]],0)</f>
        <v>1971</v>
      </c>
      <c r="K12" s="5">
        <f>VLOOKUP(Append1[[#This Row],[Rating]],Table7[],2,0)</f>
        <v>3</v>
      </c>
      <c r="M12" t="s">
        <v>218</v>
      </c>
    </row>
    <row r="13" spans="1:16" x14ac:dyDescent="0.3">
      <c r="A13" s="5" t="s">
        <v>26</v>
      </c>
      <c r="B13" s="5" t="s">
        <v>5</v>
      </c>
      <c r="C13" s="5" t="s">
        <v>20</v>
      </c>
      <c r="D13" s="5">
        <v>37</v>
      </c>
      <c r="E13" s="3">
        <v>44701</v>
      </c>
      <c r="F13" s="4">
        <v>69070</v>
      </c>
      <c r="G13" s="5" t="s">
        <v>10</v>
      </c>
      <c r="H13" s="5" t="s">
        <v>214</v>
      </c>
      <c r="I13" s="8">
        <f ca="1">(TODAY()-Append1[[#This Row],[Date joined]])/365</f>
        <v>1.893150684931507</v>
      </c>
      <c r="J13" s="4">
        <f ca="1">ROUND(IF(Append1[[#This Row],[tenure]]&gt;2,3%,2%)*Append1[[#This Row],[Salary]],0)</f>
        <v>1381</v>
      </c>
      <c r="K13" s="5">
        <f>VLOOKUP(Append1[[#This Row],[Rating]],Table7[],2,0)</f>
        <v>3</v>
      </c>
      <c r="M13">
        <f>COUNTIFS(F:F,"&gt;90000")</f>
        <v>60</v>
      </c>
    </row>
    <row r="14" spans="1:16" x14ac:dyDescent="0.3">
      <c r="A14" s="5" t="s">
        <v>27</v>
      </c>
      <c r="B14" s="5" t="s">
        <v>5</v>
      </c>
      <c r="C14" s="5" t="s">
        <v>20</v>
      </c>
      <c r="D14" s="5">
        <v>20</v>
      </c>
      <c r="E14" s="3">
        <v>44459</v>
      </c>
      <c r="F14" s="4">
        <v>107700</v>
      </c>
      <c r="G14" s="5" t="s">
        <v>10</v>
      </c>
      <c r="H14" s="5" t="s">
        <v>214</v>
      </c>
      <c r="I14" s="8">
        <f ca="1">(TODAY()-Append1[[#This Row],[Date joined]])/365</f>
        <v>2.5561643835616437</v>
      </c>
      <c r="J14" s="4">
        <f ca="1">ROUND(IF(Append1[[#This Row],[tenure]]&gt;2,3%,2%)*Append1[[#This Row],[Salary]],0)</f>
        <v>3231</v>
      </c>
      <c r="K14" s="5">
        <f>VLOOKUP(Append1[[#This Row],[Rating]],Table7[],2,0)</f>
        <v>3</v>
      </c>
      <c r="M14" t="s">
        <v>219</v>
      </c>
    </row>
    <row r="15" spans="1:16" x14ac:dyDescent="0.3">
      <c r="A15" s="5" t="s">
        <v>28</v>
      </c>
      <c r="B15" s="5" t="s">
        <v>12</v>
      </c>
      <c r="C15" s="5" t="s">
        <v>20</v>
      </c>
      <c r="D15" s="5">
        <v>32</v>
      </c>
      <c r="E15" s="3">
        <v>44354</v>
      </c>
      <c r="F15" s="4">
        <v>43840</v>
      </c>
      <c r="G15" s="5" t="s">
        <v>7</v>
      </c>
      <c r="H15" s="5" t="s">
        <v>214</v>
      </c>
      <c r="I15" s="8">
        <f ca="1">(TODAY()-Append1[[#This Row],[Date joined]])/365</f>
        <v>2.8438356164383563</v>
      </c>
      <c r="J15" s="4">
        <f ca="1">ROUND(IF(Append1[[#This Row],[tenure]]&gt;2,3%,2%)*Append1[[#This Row],[Salary]],0)</f>
        <v>1315</v>
      </c>
      <c r="K15" s="5">
        <f>VLOOKUP(Append1[[#This Row],[Rating]],Table7[],2,0)</f>
        <v>4</v>
      </c>
      <c r="M15" s="10">
        <f>(60/180)</f>
        <v>0.33333333333333331</v>
      </c>
    </row>
    <row r="16" spans="1:16" x14ac:dyDescent="0.3">
      <c r="A16" s="5" t="s">
        <v>29</v>
      </c>
      <c r="B16" s="5" t="s">
        <v>5</v>
      </c>
      <c r="C16" s="5" t="s">
        <v>9</v>
      </c>
      <c r="D16" s="5">
        <v>40</v>
      </c>
      <c r="E16" s="3">
        <v>44263</v>
      </c>
      <c r="F16" s="4">
        <v>99750</v>
      </c>
      <c r="G16" s="5" t="s">
        <v>10</v>
      </c>
      <c r="H16" s="5" t="s">
        <v>214</v>
      </c>
      <c r="I16" s="8">
        <f ca="1">(TODAY()-Append1[[#This Row],[Date joined]])/365</f>
        <v>3.0931506849315067</v>
      </c>
      <c r="J16" s="4">
        <f ca="1">ROUND(IF(Append1[[#This Row],[tenure]]&gt;2,3%,2%)*Append1[[#This Row],[Salary]],0)</f>
        <v>2993</v>
      </c>
      <c r="K16" s="5">
        <f>VLOOKUP(Append1[[#This Row],[Rating]],Table7[],2,0)</f>
        <v>3</v>
      </c>
    </row>
    <row r="17" spans="1:22" x14ac:dyDescent="0.3">
      <c r="A17" s="5" t="s">
        <v>30</v>
      </c>
      <c r="B17" s="5" t="s">
        <v>5</v>
      </c>
      <c r="C17" s="5" t="s">
        <v>9</v>
      </c>
      <c r="D17" s="5">
        <v>21</v>
      </c>
      <c r="E17" s="3">
        <v>44104</v>
      </c>
      <c r="F17" s="4">
        <v>37920</v>
      </c>
      <c r="G17" s="5" t="s">
        <v>10</v>
      </c>
      <c r="H17" s="5" t="s">
        <v>214</v>
      </c>
      <c r="I17" s="8">
        <f ca="1">(TODAY()-Append1[[#This Row],[Date joined]])/365</f>
        <v>3.5287671232876714</v>
      </c>
      <c r="J17" s="4">
        <f ca="1">ROUND(IF(Append1[[#This Row],[tenure]]&gt;2,3%,2%)*Append1[[#This Row],[Salary]],0)</f>
        <v>1138</v>
      </c>
      <c r="K17" s="5">
        <f>VLOOKUP(Append1[[#This Row],[Rating]],Table7[],2,0)</f>
        <v>3</v>
      </c>
      <c r="M17" s="19" t="s">
        <v>220</v>
      </c>
    </row>
    <row r="18" spans="1:22" ht="17.399999999999999" x14ac:dyDescent="0.45">
      <c r="A18" s="5" t="s">
        <v>31</v>
      </c>
      <c r="B18" s="5" t="s">
        <v>5</v>
      </c>
      <c r="C18" s="5" t="s">
        <v>9</v>
      </c>
      <c r="D18" s="5">
        <v>21</v>
      </c>
      <c r="E18" s="3">
        <v>44762</v>
      </c>
      <c r="F18" s="4">
        <v>57090</v>
      </c>
      <c r="G18" s="5" t="s">
        <v>10</v>
      </c>
      <c r="H18" s="5" t="s">
        <v>214</v>
      </c>
      <c r="I18" s="8">
        <f ca="1">(TODAY()-Append1[[#This Row],[Date joined]])/365</f>
        <v>1.726027397260274</v>
      </c>
      <c r="J18" s="4">
        <f ca="1">ROUND(IF(Append1[[#This Row],[tenure]]&gt;2,3%,2%)*Append1[[#This Row],[Salary]],0)</f>
        <v>1142</v>
      </c>
      <c r="K18" s="5">
        <f>VLOOKUP(Append1[[#This Row],[Rating]],Table7[],2,0)</f>
        <v>3</v>
      </c>
      <c r="M18" s="7" t="s">
        <v>221</v>
      </c>
    </row>
    <row r="19" spans="1:22" x14ac:dyDescent="0.3">
      <c r="A19" s="5" t="s">
        <v>32</v>
      </c>
      <c r="B19" s="5" t="s">
        <v>12</v>
      </c>
      <c r="C19" s="5" t="s">
        <v>20</v>
      </c>
      <c r="D19" s="5">
        <v>31</v>
      </c>
      <c r="E19" s="3">
        <v>44145</v>
      </c>
      <c r="F19" s="4">
        <v>41980</v>
      </c>
      <c r="G19" s="5" t="s">
        <v>10</v>
      </c>
      <c r="H19" s="5" t="s">
        <v>214</v>
      </c>
      <c r="I19" s="8">
        <f ca="1">(TODAY()-Append1[[#This Row],[Date joined]])/365</f>
        <v>3.4164383561643836</v>
      </c>
      <c r="J19" s="4">
        <f ca="1">ROUND(IF(Append1[[#This Row],[tenure]]&gt;2,3%,2%)*Append1[[#This Row],[Salary]],0)</f>
        <v>1259</v>
      </c>
      <c r="K19" s="5">
        <f>VLOOKUP(Append1[[#This Row],[Rating]],Table7[],2,0)</f>
        <v>3</v>
      </c>
      <c r="M19" s="21" t="s">
        <v>19</v>
      </c>
      <c r="N19" t="str">
        <f>VLOOKUP(M19,A:I,7,0)</f>
        <v>Average</v>
      </c>
    </row>
    <row r="20" spans="1:22" x14ac:dyDescent="0.3">
      <c r="A20" s="5" t="s">
        <v>33</v>
      </c>
      <c r="B20" s="5" t="s">
        <v>5</v>
      </c>
      <c r="C20" s="5" t="s">
        <v>23</v>
      </c>
      <c r="D20" s="5">
        <v>21</v>
      </c>
      <c r="E20" s="3">
        <v>44242</v>
      </c>
      <c r="F20" s="4">
        <v>75880</v>
      </c>
      <c r="G20" s="5" t="s">
        <v>10</v>
      </c>
      <c r="H20" s="5" t="s">
        <v>214</v>
      </c>
      <c r="I20" s="8">
        <f ca="1">(TODAY()-Append1[[#This Row],[Date joined]])/365</f>
        <v>3.1506849315068495</v>
      </c>
      <c r="J20" s="4">
        <f ca="1">ROUND(IF(Append1[[#This Row],[tenure]]&gt;2,3%,2%)*Append1[[#This Row],[Salary]],0)</f>
        <v>2276</v>
      </c>
      <c r="K20" s="5">
        <f>VLOOKUP(Append1[[#This Row],[Rating]],Table7[],2,0)</f>
        <v>3</v>
      </c>
    </row>
    <row r="21" spans="1:22" x14ac:dyDescent="0.3">
      <c r="A21" s="5" t="s">
        <v>34</v>
      </c>
      <c r="B21" s="5" t="s">
        <v>12</v>
      </c>
      <c r="C21" s="5" t="s">
        <v>14</v>
      </c>
      <c r="D21" s="5">
        <v>34</v>
      </c>
      <c r="E21" s="3">
        <v>44653</v>
      </c>
      <c r="F21" s="4">
        <v>58940</v>
      </c>
      <c r="G21" s="5" t="s">
        <v>10</v>
      </c>
      <c r="H21" s="5" t="s">
        <v>214</v>
      </c>
      <c r="I21" s="8">
        <f ca="1">(TODAY()-Append1[[#This Row],[Date joined]])/365</f>
        <v>2.0246575342465754</v>
      </c>
      <c r="J21" s="4">
        <f ca="1">ROUND(IF(Append1[[#This Row],[tenure]]&gt;2,3%,2%)*Append1[[#This Row],[Salary]],0)</f>
        <v>1768</v>
      </c>
      <c r="K21" s="5">
        <f>VLOOKUP(Append1[[#This Row],[Rating]],Table7[],2,0)</f>
        <v>3</v>
      </c>
    </row>
    <row r="22" spans="1:22" x14ac:dyDescent="0.3">
      <c r="A22" s="5" t="s">
        <v>35</v>
      </c>
      <c r="B22" s="5" t="s">
        <v>12</v>
      </c>
      <c r="C22" s="5" t="s">
        <v>14</v>
      </c>
      <c r="D22" s="5">
        <v>30</v>
      </c>
      <c r="E22" s="3">
        <v>44389</v>
      </c>
      <c r="F22" s="4">
        <v>67910</v>
      </c>
      <c r="G22" s="5" t="s">
        <v>15</v>
      </c>
      <c r="H22" s="5" t="s">
        <v>214</v>
      </c>
      <c r="I22" s="8">
        <f ca="1">(TODAY()-Append1[[#This Row],[Date joined]])/365</f>
        <v>2.7479452054794522</v>
      </c>
      <c r="J22" s="4">
        <f ca="1">ROUND(IF(Append1[[#This Row],[tenure]]&gt;2,3%,2%)*Append1[[#This Row],[Salary]],0)</f>
        <v>2037</v>
      </c>
      <c r="K22" s="5">
        <f>VLOOKUP(Append1[[#This Row],[Rating]],Table7[],2,0)</f>
        <v>2</v>
      </c>
    </row>
    <row r="23" spans="1:22" x14ac:dyDescent="0.3">
      <c r="A23" t="s">
        <v>36</v>
      </c>
      <c r="B23" t="s">
        <v>12</v>
      </c>
      <c r="C23" t="s">
        <v>20</v>
      </c>
      <c r="D23">
        <v>31</v>
      </c>
      <c r="E23" s="3">
        <v>44663</v>
      </c>
      <c r="F23" s="4">
        <v>58100</v>
      </c>
      <c r="G23" t="s">
        <v>10</v>
      </c>
      <c r="H23" t="s">
        <v>214</v>
      </c>
      <c r="I23" s="8">
        <f ca="1">(TODAY()-Append1[[#This Row],[Date joined]])/365</f>
        <v>1.9972602739726026</v>
      </c>
      <c r="J23" s="4">
        <f ca="1">ROUND(IF(Append1[[#This Row],[tenure]]&gt;2,3%,2%)*Append1[[#This Row],[Salary]],0)</f>
        <v>1162</v>
      </c>
      <c r="K23" s="5">
        <f>VLOOKUP(Append1[[#This Row],[Rating]],Table7[],2,0)</f>
        <v>3</v>
      </c>
    </row>
    <row r="24" spans="1:22" x14ac:dyDescent="0.3">
      <c r="A24" t="s">
        <v>37</v>
      </c>
      <c r="B24" t="s">
        <v>5</v>
      </c>
      <c r="C24" t="s">
        <v>14</v>
      </c>
      <c r="D24">
        <v>27</v>
      </c>
      <c r="E24" s="3">
        <v>44567</v>
      </c>
      <c r="F24" s="4">
        <v>48980</v>
      </c>
      <c r="G24" t="s">
        <v>10</v>
      </c>
      <c r="H24" t="s">
        <v>214</v>
      </c>
      <c r="I24" s="8">
        <f ca="1">(TODAY()-Append1[[#This Row],[Date joined]])/365</f>
        <v>2.2602739726027399</v>
      </c>
      <c r="J24" s="4">
        <f ca="1">ROUND(IF(Append1[[#This Row],[tenure]]&gt;2,3%,2%)*Append1[[#This Row],[Salary]],0)</f>
        <v>1469</v>
      </c>
      <c r="K24" s="5">
        <f>VLOOKUP(Append1[[#This Row],[Rating]],Table7[],2,0)</f>
        <v>3</v>
      </c>
      <c r="M24" s="19" t="s">
        <v>237</v>
      </c>
      <c r="N24" s="19"/>
      <c r="O24" s="19"/>
      <c r="P24" s="19"/>
      <c r="Q24" s="19"/>
      <c r="R24" s="19"/>
      <c r="S24" s="19"/>
      <c r="T24" s="19"/>
      <c r="U24" s="19"/>
      <c r="V24" s="19"/>
    </row>
    <row r="25" spans="1:22" x14ac:dyDescent="0.3">
      <c r="A25" t="s">
        <v>39</v>
      </c>
      <c r="B25" t="s">
        <v>12</v>
      </c>
      <c r="C25" t="s">
        <v>9</v>
      </c>
      <c r="D25">
        <v>42</v>
      </c>
      <c r="E25" s="3">
        <v>44779</v>
      </c>
      <c r="F25" s="4">
        <v>75000</v>
      </c>
      <c r="G25" t="s">
        <v>40</v>
      </c>
      <c r="H25" t="s">
        <v>214</v>
      </c>
      <c r="I25" s="8">
        <f ca="1">(TODAY()-Append1[[#This Row],[Date joined]])/365</f>
        <v>1.6794520547945206</v>
      </c>
      <c r="J25" s="4">
        <f ca="1">ROUND(IF(Append1[[#This Row],[tenure]]&gt;2,3%,2%)*Append1[[#This Row],[Salary]],0)</f>
        <v>1500</v>
      </c>
      <c r="K25" s="5">
        <f>VLOOKUP(Append1[[#This Row],[Rating]],Table7[],2,0)</f>
        <v>5</v>
      </c>
    </row>
    <row r="26" spans="1:22" x14ac:dyDescent="0.3">
      <c r="A26" t="s">
        <v>41</v>
      </c>
      <c r="B26" t="s">
        <v>12</v>
      </c>
      <c r="C26" t="s">
        <v>20</v>
      </c>
      <c r="D26">
        <v>40</v>
      </c>
      <c r="E26" s="3">
        <v>44337</v>
      </c>
      <c r="F26" s="4">
        <v>87620</v>
      </c>
      <c r="G26" t="s">
        <v>10</v>
      </c>
      <c r="H26" t="s">
        <v>214</v>
      </c>
      <c r="I26" s="8">
        <f ca="1">(TODAY()-Append1[[#This Row],[Date joined]])/365</f>
        <v>2.8904109589041096</v>
      </c>
      <c r="J26" s="4">
        <f ca="1">ROUND(IF(Append1[[#This Row],[tenure]]&gt;2,3%,2%)*Append1[[#This Row],[Salary]],0)</f>
        <v>2629</v>
      </c>
      <c r="K26" s="5">
        <f>VLOOKUP(Append1[[#This Row],[Rating]],Table7[],2,0)</f>
        <v>3</v>
      </c>
      <c r="M26" t="s">
        <v>239</v>
      </c>
    </row>
    <row r="27" spans="1:22" x14ac:dyDescent="0.3">
      <c r="A27" t="s">
        <v>42</v>
      </c>
      <c r="B27" t="s">
        <v>12</v>
      </c>
      <c r="C27" t="s">
        <v>20</v>
      </c>
      <c r="D27">
        <v>29</v>
      </c>
      <c r="E27" s="3">
        <v>44023</v>
      </c>
      <c r="F27" s="4">
        <v>34980</v>
      </c>
      <c r="G27" t="s">
        <v>10</v>
      </c>
      <c r="H27" t="s">
        <v>214</v>
      </c>
      <c r="I27" s="8">
        <f ca="1">(TODAY()-Append1[[#This Row],[Date joined]])/365</f>
        <v>3.7506849315068491</v>
      </c>
      <c r="J27" s="4">
        <f ca="1">ROUND(IF(Append1[[#This Row],[tenure]]&gt;2,3%,2%)*Append1[[#This Row],[Salary]],0)</f>
        <v>1049</v>
      </c>
      <c r="K27" s="5">
        <f>VLOOKUP(Append1[[#This Row],[Rating]],Table7[],2,0)</f>
        <v>3</v>
      </c>
    </row>
    <row r="28" spans="1:22" x14ac:dyDescent="0.3">
      <c r="A28" t="s">
        <v>43</v>
      </c>
      <c r="B28" t="s">
        <v>12</v>
      </c>
      <c r="C28" t="s">
        <v>14</v>
      </c>
      <c r="D28">
        <v>28</v>
      </c>
      <c r="E28" s="3">
        <v>44185</v>
      </c>
      <c r="F28" s="4">
        <v>75970</v>
      </c>
      <c r="G28" t="s">
        <v>10</v>
      </c>
      <c r="H28" t="s">
        <v>214</v>
      </c>
      <c r="I28" s="8">
        <f ca="1">(TODAY()-Append1[[#This Row],[Date joined]])/365</f>
        <v>3.3068493150684932</v>
      </c>
      <c r="J28" s="4">
        <f ca="1">ROUND(IF(Append1[[#This Row],[tenure]]&gt;2,3%,2%)*Append1[[#This Row],[Salary]],0)</f>
        <v>2279</v>
      </c>
      <c r="K28" s="5">
        <f>VLOOKUP(Append1[[#This Row],[Rating]],Table7[],2,0)</f>
        <v>3</v>
      </c>
    </row>
    <row r="29" spans="1:22" x14ac:dyDescent="0.3">
      <c r="A29" t="s">
        <v>44</v>
      </c>
      <c r="B29" t="s">
        <v>12</v>
      </c>
      <c r="C29" t="s">
        <v>14</v>
      </c>
      <c r="D29">
        <v>34</v>
      </c>
      <c r="E29" s="3">
        <v>44612</v>
      </c>
      <c r="F29" s="4">
        <v>60130</v>
      </c>
      <c r="G29" t="s">
        <v>10</v>
      </c>
      <c r="H29" t="s">
        <v>214</v>
      </c>
      <c r="I29" s="8">
        <f ca="1">(TODAY()-Append1[[#This Row],[Date joined]])/365</f>
        <v>2.1369863013698631</v>
      </c>
      <c r="J29" s="4">
        <f ca="1">ROUND(IF(Append1[[#This Row],[tenure]]&gt;2,3%,2%)*Append1[[#This Row],[Salary]],0)</f>
        <v>1804</v>
      </c>
      <c r="K29" s="5">
        <f>VLOOKUP(Append1[[#This Row],[Rating]],Table7[],2,0)</f>
        <v>3</v>
      </c>
    </row>
    <row r="30" spans="1:22" x14ac:dyDescent="0.3">
      <c r="A30" t="s">
        <v>45</v>
      </c>
      <c r="B30" t="s">
        <v>12</v>
      </c>
      <c r="C30" t="s">
        <v>20</v>
      </c>
      <c r="D30">
        <v>33</v>
      </c>
      <c r="E30" s="3">
        <v>44374</v>
      </c>
      <c r="F30" s="4">
        <v>75480</v>
      </c>
      <c r="G30" t="s">
        <v>46</v>
      </c>
      <c r="H30" t="s">
        <v>214</v>
      </c>
      <c r="I30" s="8">
        <f ca="1">(TODAY()-Append1[[#This Row],[Date joined]])/365</f>
        <v>2.7890410958904108</v>
      </c>
      <c r="J30" s="4">
        <f ca="1">ROUND(IF(Append1[[#This Row],[tenure]]&gt;2,3%,2%)*Append1[[#This Row],[Salary]],0)</f>
        <v>2264</v>
      </c>
      <c r="K30" s="5">
        <f>VLOOKUP(Append1[[#This Row],[Rating]],Table7[],2,0)</f>
        <v>1</v>
      </c>
    </row>
    <row r="31" spans="1:22" x14ac:dyDescent="0.3">
      <c r="A31" t="s">
        <v>47</v>
      </c>
      <c r="B31" t="s">
        <v>5</v>
      </c>
      <c r="C31" t="s">
        <v>9</v>
      </c>
      <c r="D31">
        <v>33</v>
      </c>
      <c r="E31" s="3">
        <v>44164</v>
      </c>
      <c r="F31" s="4">
        <v>115920</v>
      </c>
      <c r="G31" t="s">
        <v>10</v>
      </c>
      <c r="H31" t="s">
        <v>214</v>
      </c>
      <c r="I31" s="8">
        <f ca="1">(TODAY()-Append1[[#This Row],[Date joined]])/365</f>
        <v>3.3643835616438356</v>
      </c>
      <c r="J31" s="4">
        <f ca="1">ROUND(IF(Append1[[#This Row],[tenure]]&gt;2,3%,2%)*Append1[[#This Row],[Salary]],0)</f>
        <v>3478</v>
      </c>
      <c r="K31" s="5">
        <f>VLOOKUP(Append1[[#This Row],[Rating]],Table7[],2,0)</f>
        <v>3</v>
      </c>
    </row>
    <row r="32" spans="1:22" x14ac:dyDescent="0.3">
      <c r="A32" t="s">
        <v>48</v>
      </c>
      <c r="B32" t="s">
        <v>12</v>
      </c>
      <c r="C32" t="s">
        <v>6</v>
      </c>
      <c r="D32">
        <v>36</v>
      </c>
      <c r="E32" s="3">
        <v>44494</v>
      </c>
      <c r="F32" s="4">
        <v>78540</v>
      </c>
      <c r="G32" t="s">
        <v>10</v>
      </c>
      <c r="H32" t="s">
        <v>214</v>
      </c>
      <c r="I32" s="8">
        <f ca="1">(TODAY()-Append1[[#This Row],[Date joined]])/365</f>
        <v>2.4602739726027396</v>
      </c>
      <c r="J32" s="4">
        <f ca="1">ROUND(IF(Append1[[#This Row],[tenure]]&gt;2,3%,2%)*Append1[[#This Row],[Salary]],0)</f>
        <v>2356</v>
      </c>
      <c r="K32" s="5">
        <f>VLOOKUP(Append1[[#This Row],[Rating]],Table7[],2,0)</f>
        <v>3</v>
      </c>
    </row>
    <row r="33" spans="1:11" x14ac:dyDescent="0.3">
      <c r="A33" t="s">
        <v>49</v>
      </c>
      <c r="B33" t="s">
        <v>5</v>
      </c>
      <c r="C33" t="s">
        <v>9</v>
      </c>
      <c r="D33">
        <v>25</v>
      </c>
      <c r="E33" s="3">
        <v>44726</v>
      </c>
      <c r="F33" s="4">
        <v>109190</v>
      </c>
      <c r="G33" t="s">
        <v>7</v>
      </c>
      <c r="H33" t="s">
        <v>214</v>
      </c>
      <c r="I33" s="8">
        <f ca="1">(TODAY()-Append1[[#This Row],[Date joined]])/365</f>
        <v>1.8246575342465754</v>
      </c>
      <c r="J33" s="4">
        <f ca="1">ROUND(IF(Append1[[#This Row],[tenure]]&gt;2,3%,2%)*Append1[[#This Row],[Salary]],0)</f>
        <v>2184</v>
      </c>
      <c r="K33" s="5">
        <f>VLOOKUP(Append1[[#This Row],[Rating]],Table7[],2,0)</f>
        <v>4</v>
      </c>
    </row>
    <row r="34" spans="1:11" x14ac:dyDescent="0.3">
      <c r="A34" t="s">
        <v>50</v>
      </c>
      <c r="B34" t="s">
        <v>12</v>
      </c>
      <c r="C34" t="s">
        <v>6</v>
      </c>
      <c r="D34">
        <v>34</v>
      </c>
      <c r="E34" s="3">
        <v>44721</v>
      </c>
      <c r="F34" s="4">
        <v>49630</v>
      </c>
      <c r="G34" t="s">
        <v>15</v>
      </c>
      <c r="H34" t="s">
        <v>214</v>
      </c>
      <c r="I34" s="8">
        <f ca="1">(TODAY()-Append1[[#This Row],[Date joined]])/365</f>
        <v>1.8383561643835618</v>
      </c>
      <c r="J34" s="4">
        <f ca="1">ROUND(IF(Append1[[#This Row],[tenure]]&gt;2,3%,2%)*Append1[[#This Row],[Salary]],0)</f>
        <v>993</v>
      </c>
      <c r="K34" s="5">
        <f>VLOOKUP(Append1[[#This Row],[Rating]],Table7[],2,0)</f>
        <v>2</v>
      </c>
    </row>
    <row r="35" spans="1:11" x14ac:dyDescent="0.3">
      <c r="A35" t="s">
        <v>51</v>
      </c>
      <c r="B35" t="s">
        <v>12</v>
      </c>
      <c r="C35" t="s">
        <v>9</v>
      </c>
      <c r="D35">
        <v>28</v>
      </c>
      <c r="E35" s="3">
        <v>44630</v>
      </c>
      <c r="F35" s="4">
        <v>99970</v>
      </c>
      <c r="G35" t="s">
        <v>10</v>
      </c>
      <c r="H35" t="s">
        <v>214</v>
      </c>
      <c r="I35" s="8">
        <f ca="1">(TODAY()-Append1[[#This Row],[Date joined]])/365</f>
        <v>2.0876712328767124</v>
      </c>
      <c r="J35" s="4">
        <f ca="1">ROUND(IF(Append1[[#This Row],[tenure]]&gt;2,3%,2%)*Append1[[#This Row],[Salary]],0)</f>
        <v>2999</v>
      </c>
      <c r="K35" s="5">
        <f>VLOOKUP(Append1[[#This Row],[Rating]],Table7[],2,0)</f>
        <v>3</v>
      </c>
    </row>
    <row r="36" spans="1:11" x14ac:dyDescent="0.3">
      <c r="A36" t="s">
        <v>52</v>
      </c>
      <c r="B36" t="s">
        <v>12</v>
      </c>
      <c r="C36" t="s">
        <v>20</v>
      </c>
      <c r="D36">
        <v>33</v>
      </c>
      <c r="E36" s="3">
        <v>44190</v>
      </c>
      <c r="F36" s="4">
        <v>96140</v>
      </c>
      <c r="G36" t="s">
        <v>10</v>
      </c>
      <c r="H36" t="s">
        <v>214</v>
      </c>
      <c r="I36" s="8">
        <f ca="1">(TODAY()-Append1[[#This Row],[Date joined]])/365</f>
        <v>3.2931506849315069</v>
      </c>
      <c r="J36" s="4">
        <f ca="1">ROUND(IF(Append1[[#This Row],[tenure]]&gt;2,3%,2%)*Append1[[#This Row],[Salary]],0)</f>
        <v>2884</v>
      </c>
      <c r="K36" s="5">
        <f>VLOOKUP(Append1[[#This Row],[Rating]],Table7[],2,0)</f>
        <v>3</v>
      </c>
    </row>
    <row r="37" spans="1:11" x14ac:dyDescent="0.3">
      <c r="A37" t="s">
        <v>53</v>
      </c>
      <c r="B37" t="s">
        <v>5</v>
      </c>
      <c r="C37" t="s">
        <v>9</v>
      </c>
      <c r="D37">
        <v>31</v>
      </c>
      <c r="E37" s="3">
        <v>44724</v>
      </c>
      <c r="F37" s="4">
        <v>103550</v>
      </c>
      <c r="G37" t="s">
        <v>10</v>
      </c>
      <c r="H37" t="s">
        <v>214</v>
      </c>
      <c r="I37" s="8">
        <f ca="1">(TODAY()-Append1[[#This Row],[Date joined]])/365</f>
        <v>1.8301369863013699</v>
      </c>
      <c r="J37" s="4">
        <f ca="1">ROUND(IF(Append1[[#This Row],[tenure]]&gt;2,3%,2%)*Append1[[#This Row],[Salary]],0)</f>
        <v>2071</v>
      </c>
      <c r="K37" s="5">
        <f>VLOOKUP(Append1[[#This Row],[Rating]],Table7[],2,0)</f>
        <v>3</v>
      </c>
    </row>
    <row r="38" spans="1:11" x14ac:dyDescent="0.3">
      <c r="A38" t="s">
        <v>54</v>
      </c>
      <c r="B38" t="s">
        <v>5</v>
      </c>
      <c r="C38" t="s">
        <v>20</v>
      </c>
      <c r="D38">
        <v>31</v>
      </c>
      <c r="E38" s="3">
        <v>44511</v>
      </c>
      <c r="F38" s="4">
        <v>48950</v>
      </c>
      <c r="G38" t="s">
        <v>10</v>
      </c>
      <c r="H38" t="s">
        <v>214</v>
      </c>
      <c r="I38" s="8">
        <f ca="1">(TODAY()-Append1[[#This Row],[Date joined]])/365</f>
        <v>2.4136986301369863</v>
      </c>
      <c r="J38" s="4">
        <f ca="1">ROUND(IF(Append1[[#This Row],[tenure]]&gt;2,3%,2%)*Append1[[#This Row],[Salary]],0)</f>
        <v>1469</v>
      </c>
      <c r="K38" s="5">
        <f>VLOOKUP(Append1[[#This Row],[Rating]],Table7[],2,0)</f>
        <v>3</v>
      </c>
    </row>
    <row r="39" spans="1:11" x14ac:dyDescent="0.3">
      <c r="A39" t="s">
        <v>55</v>
      </c>
      <c r="B39" t="s">
        <v>5</v>
      </c>
      <c r="C39" t="s">
        <v>14</v>
      </c>
      <c r="D39">
        <v>24</v>
      </c>
      <c r="E39" s="3">
        <v>44436</v>
      </c>
      <c r="F39" s="4">
        <v>52610</v>
      </c>
      <c r="G39" t="s">
        <v>15</v>
      </c>
      <c r="H39" t="s">
        <v>214</v>
      </c>
      <c r="I39" s="8">
        <f ca="1">(TODAY()-Append1[[#This Row],[Date joined]])/365</f>
        <v>2.6191780821917807</v>
      </c>
      <c r="J39" s="4">
        <f ca="1">ROUND(IF(Append1[[#This Row],[tenure]]&gt;2,3%,2%)*Append1[[#This Row],[Salary]],0)</f>
        <v>1578</v>
      </c>
      <c r="K39" s="5">
        <f>VLOOKUP(Append1[[#This Row],[Rating]],Table7[],2,0)</f>
        <v>2</v>
      </c>
    </row>
    <row r="40" spans="1:11" x14ac:dyDescent="0.3">
      <c r="A40" t="s">
        <v>56</v>
      </c>
      <c r="B40" t="s">
        <v>12</v>
      </c>
      <c r="C40" t="s">
        <v>9</v>
      </c>
      <c r="D40">
        <v>36</v>
      </c>
      <c r="E40" s="3">
        <v>44529</v>
      </c>
      <c r="F40" s="4">
        <v>78390</v>
      </c>
      <c r="G40" t="s">
        <v>10</v>
      </c>
      <c r="H40" t="s">
        <v>214</v>
      </c>
      <c r="I40" s="8">
        <f ca="1">(TODAY()-Append1[[#This Row],[Date joined]])/365</f>
        <v>2.3643835616438356</v>
      </c>
      <c r="J40" s="4">
        <f ca="1">ROUND(IF(Append1[[#This Row],[tenure]]&gt;2,3%,2%)*Append1[[#This Row],[Salary]],0)</f>
        <v>2352</v>
      </c>
      <c r="K40" s="5">
        <f>VLOOKUP(Append1[[#This Row],[Rating]],Table7[],2,0)</f>
        <v>3</v>
      </c>
    </row>
    <row r="41" spans="1:11" x14ac:dyDescent="0.3">
      <c r="A41" t="s">
        <v>57</v>
      </c>
      <c r="B41" t="s">
        <v>12</v>
      </c>
      <c r="C41" t="s">
        <v>14</v>
      </c>
      <c r="D41">
        <v>33</v>
      </c>
      <c r="E41" s="3">
        <v>44809</v>
      </c>
      <c r="F41" s="4">
        <v>86570</v>
      </c>
      <c r="G41" t="s">
        <v>10</v>
      </c>
      <c r="H41" t="s">
        <v>214</v>
      </c>
      <c r="I41" s="8">
        <f ca="1">(TODAY()-Append1[[#This Row],[Date joined]])/365</f>
        <v>1.5972602739726027</v>
      </c>
      <c r="J41" s="4">
        <f ca="1">ROUND(IF(Append1[[#This Row],[tenure]]&gt;2,3%,2%)*Append1[[#This Row],[Salary]],0)</f>
        <v>1731</v>
      </c>
      <c r="K41" s="5">
        <f>VLOOKUP(Append1[[#This Row],[Rating]],Table7[],2,0)</f>
        <v>3</v>
      </c>
    </row>
    <row r="42" spans="1:11" x14ac:dyDescent="0.3">
      <c r="A42" t="s">
        <v>58</v>
      </c>
      <c r="B42" t="s">
        <v>12</v>
      </c>
      <c r="C42" t="s">
        <v>20</v>
      </c>
      <c r="D42">
        <v>27</v>
      </c>
      <c r="E42" s="3">
        <v>44686</v>
      </c>
      <c r="F42" s="4">
        <v>83750</v>
      </c>
      <c r="G42" t="s">
        <v>10</v>
      </c>
      <c r="H42" t="s">
        <v>214</v>
      </c>
      <c r="I42" s="8">
        <f ca="1">(TODAY()-Append1[[#This Row],[Date joined]])/365</f>
        <v>1.9342465753424658</v>
      </c>
      <c r="J42" s="4">
        <f ca="1">ROUND(IF(Append1[[#This Row],[tenure]]&gt;2,3%,2%)*Append1[[#This Row],[Salary]],0)</f>
        <v>1675</v>
      </c>
      <c r="K42" s="5">
        <f>VLOOKUP(Append1[[#This Row],[Rating]],Table7[],2,0)</f>
        <v>3</v>
      </c>
    </row>
    <row r="43" spans="1:11" x14ac:dyDescent="0.3">
      <c r="A43" t="s">
        <v>59</v>
      </c>
      <c r="B43" t="s">
        <v>12</v>
      </c>
      <c r="C43" t="s">
        <v>14</v>
      </c>
      <c r="D43">
        <v>34</v>
      </c>
      <c r="E43" s="3">
        <v>44445</v>
      </c>
      <c r="F43" s="4">
        <v>92450</v>
      </c>
      <c r="G43" t="s">
        <v>10</v>
      </c>
      <c r="H43" t="s">
        <v>214</v>
      </c>
      <c r="I43" s="8">
        <f ca="1">(TODAY()-Append1[[#This Row],[Date joined]])/365</f>
        <v>2.5945205479452054</v>
      </c>
      <c r="J43" s="4">
        <f ca="1">ROUND(IF(Append1[[#This Row],[tenure]]&gt;2,3%,2%)*Append1[[#This Row],[Salary]],0)</f>
        <v>2774</v>
      </c>
      <c r="K43" s="5">
        <f>VLOOKUP(Append1[[#This Row],[Rating]],Table7[],2,0)</f>
        <v>3</v>
      </c>
    </row>
    <row r="44" spans="1:11" x14ac:dyDescent="0.3">
      <c r="A44" t="s">
        <v>60</v>
      </c>
      <c r="B44" t="s">
        <v>5</v>
      </c>
      <c r="C44" t="s">
        <v>20</v>
      </c>
      <c r="D44">
        <v>20</v>
      </c>
      <c r="E44" s="3">
        <v>44183</v>
      </c>
      <c r="F44" s="4">
        <v>112650</v>
      </c>
      <c r="G44" t="s">
        <v>10</v>
      </c>
      <c r="H44" t="s">
        <v>214</v>
      </c>
      <c r="I44" s="8">
        <f ca="1">(TODAY()-Append1[[#This Row],[Date joined]])/365</f>
        <v>3.3123287671232875</v>
      </c>
      <c r="J44" s="4">
        <f ca="1">ROUND(IF(Append1[[#This Row],[tenure]]&gt;2,3%,2%)*Append1[[#This Row],[Salary]],0)</f>
        <v>3380</v>
      </c>
      <c r="K44" s="5">
        <f>VLOOKUP(Append1[[#This Row],[Rating]],Table7[],2,0)</f>
        <v>3</v>
      </c>
    </row>
    <row r="45" spans="1:11" x14ac:dyDescent="0.3">
      <c r="A45" t="s">
        <v>61</v>
      </c>
      <c r="B45" t="s">
        <v>5</v>
      </c>
      <c r="C45" t="s">
        <v>9</v>
      </c>
      <c r="D45">
        <v>20</v>
      </c>
      <c r="E45" s="3">
        <v>44744</v>
      </c>
      <c r="F45" s="4">
        <v>79570</v>
      </c>
      <c r="G45" t="s">
        <v>10</v>
      </c>
      <c r="H45" t="s">
        <v>214</v>
      </c>
      <c r="I45" s="8">
        <f ca="1">(TODAY()-Append1[[#This Row],[Date joined]])/365</f>
        <v>1.7753424657534247</v>
      </c>
      <c r="J45" s="4">
        <f ca="1">ROUND(IF(Append1[[#This Row],[tenure]]&gt;2,3%,2%)*Append1[[#This Row],[Salary]],0)</f>
        <v>1591</v>
      </c>
      <c r="K45" s="5">
        <f>VLOOKUP(Append1[[#This Row],[Rating]],Table7[],2,0)</f>
        <v>3</v>
      </c>
    </row>
    <row r="46" spans="1:11" x14ac:dyDescent="0.3">
      <c r="A46" t="s">
        <v>62</v>
      </c>
      <c r="B46" t="s">
        <v>12</v>
      </c>
      <c r="C46" t="s">
        <v>6</v>
      </c>
      <c r="D46">
        <v>20</v>
      </c>
      <c r="E46" s="3">
        <v>44537</v>
      </c>
      <c r="F46" s="4">
        <v>68900</v>
      </c>
      <c r="G46" t="s">
        <v>15</v>
      </c>
      <c r="H46" t="s">
        <v>214</v>
      </c>
      <c r="I46" s="8">
        <f ca="1">(TODAY()-Append1[[#This Row],[Date joined]])/365</f>
        <v>2.3424657534246576</v>
      </c>
      <c r="J46" s="4">
        <f ca="1">ROUND(IF(Append1[[#This Row],[tenure]]&gt;2,3%,2%)*Append1[[#This Row],[Salary]],0)</f>
        <v>2067</v>
      </c>
      <c r="K46" s="5">
        <f>VLOOKUP(Append1[[#This Row],[Rating]],Table7[],2,0)</f>
        <v>2</v>
      </c>
    </row>
    <row r="47" spans="1:11" x14ac:dyDescent="0.3">
      <c r="A47" t="s">
        <v>63</v>
      </c>
      <c r="B47" t="s">
        <v>12</v>
      </c>
      <c r="C47" t="s">
        <v>20</v>
      </c>
      <c r="D47">
        <v>25</v>
      </c>
      <c r="E47" s="3">
        <v>44694</v>
      </c>
      <c r="F47" s="4">
        <v>80700</v>
      </c>
      <c r="G47" t="s">
        <v>7</v>
      </c>
      <c r="H47" t="s">
        <v>214</v>
      </c>
      <c r="I47" s="8">
        <f ca="1">(TODAY()-Append1[[#This Row],[Date joined]])/365</f>
        <v>1.9123287671232876</v>
      </c>
      <c r="J47" s="4">
        <f ca="1">ROUND(IF(Append1[[#This Row],[tenure]]&gt;2,3%,2%)*Append1[[#This Row],[Salary]],0)</f>
        <v>1614</v>
      </c>
      <c r="K47" s="5">
        <f>VLOOKUP(Append1[[#This Row],[Rating]],Table7[],2,0)</f>
        <v>4</v>
      </c>
    </row>
    <row r="48" spans="1:11" x14ac:dyDescent="0.3">
      <c r="A48" t="s">
        <v>64</v>
      </c>
      <c r="B48" t="s">
        <v>5</v>
      </c>
      <c r="C48" t="s">
        <v>9</v>
      </c>
      <c r="D48">
        <v>19</v>
      </c>
      <c r="E48" s="3">
        <v>44277</v>
      </c>
      <c r="F48" s="4">
        <v>58960</v>
      </c>
      <c r="G48" t="s">
        <v>10</v>
      </c>
      <c r="H48" t="s">
        <v>214</v>
      </c>
      <c r="I48" s="8">
        <f ca="1">(TODAY()-Append1[[#This Row],[Date joined]])/365</f>
        <v>3.0547945205479454</v>
      </c>
      <c r="J48" s="4">
        <f ca="1">ROUND(IF(Append1[[#This Row],[tenure]]&gt;2,3%,2%)*Append1[[#This Row],[Salary]],0)</f>
        <v>1769</v>
      </c>
      <c r="K48" s="5">
        <f>VLOOKUP(Append1[[#This Row],[Rating]],Table7[],2,0)</f>
        <v>3</v>
      </c>
    </row>
    <row r="49" spans="1:11" x14ac:dyDescent="0.3">
      <c r="A49" t="s">
        <v>65</v>
      </c>
      <c r="B49" t="s">
        <v>5</v>
      </c>
      <c r="C49" t="s">
        <v>20</v>
      </c>
      <c r="D49">
        <v>36</v>
      </c>
      <c r="E49" s="3">
        <v>44019</v>
      </c>
      <c r="F49" s="4">
        <v>118840</v>
      </c>
      <c r="G49" t="s">
        <v>10</v>
      </c>
      <c r="H49" t="s">
        <v>214</v>
      </c>
      <c r="I49" s="8">
        <f ca="1">(TODAY()-Append1[[#This Row],[Date joined]])/365</f>
        <v>3.7616438356164386</v>
      </c>
      <c r="J49" s="4">
        <f ca="1">ROUND(IF(Append1[[#This Row],[tenure]]&gt;2,3%,2%)*Append1[[#This Row],[Salary]],0)</f>
        <v>3565</v>
      </c>
      <c r="K49" s="5">
        <f>VLOOKUP(Append1[[#This Row],[Rating]],Table7[],2,0)</f>
        <v>3</v>
      </c>
    </row>
    <row r="50" spans="1:11" x14ac:dyDescent="0.3">
      <c r="A50" t="s">
        <v>66</v>
      </c>
      <c r="B50" t="s">
        <v>5</v>
      </c>
      <c r="C50" t="s">
        <v>14</v>
      </c>
      <c r="D50">
        <v>28</v>
      </c>
      <c r="E50" s="3">
        <v>44041</v>
      </c>
      <c r="F50" s="4">
        <v>48170</v>
      </c>
      <c r="G50" t="s">
        <v>7</v>
      </c>
      <c r="H50" t="s">
        <v>214</v>
      </c>
      <c r="I50" s="8">
        <f ca="1">(TODAY()-Append1[[#This Row],[Date joined]])/365</f>
        <v>3.7013698630136984</v>
      </c>
      <c r="J50" s="4">
        <f ca="1">ROUND(IF(Append1[[#This Row],[tenure]]&gt;2,3%,2%)*Append1[[#This Row],[Salary]],0)</f>
        <v>1445</v>
      </c>
      <c r="K50" s="5">
        <f>VLOOKUP(Append1[[#This Row],[Rating]],Table7[],2,0)</f>
        <v>4</v>
      </c>
    </row>
    <row r="51" spans="1:11" x14ac:dyDescent="0.3">
      <c r="A51" t="s">
        <v>67</v>
      </c>
      <c r="B51" t="s">
        <v>12</v>
      </c>
      <c r="C51" t="s">
        <v>23</v>
      </c>
      <c r="D51">
        <v>32</v>
      </c>
      <c r="E51" s="3">
        <v>44400</v>
      </c>
      <c r="F51" s="4">
        <v>45510</v>
      </c>
      <c r="G51" t="s">
        <v>10</v>
      </c>
      <c r="H51" t="s">
        <v>214</v>
      </c>
      <c r="I51" s="8">
        <f ca="1">(TODAY()-Append1[[#This Row],[Date joined]])/365</f>
        <v>2.7178082191780821</v>
      </c>
      <c r="J51" s="4">
        <f ca="1">ROUND(IF(Append1[[#This Row],[tenure]]&gt;2,3%,2%)*Append1[[#This Row],[Salary]],0)</f>
        <v>1365</v>
      </c>
      <c r="K51" s="5">
        <f>VLOOKUP(Append1[[#This Row],[Rating]],Table7[],2,0)</f>
        <v>3</v>
      </c>
    </row>
    <row r="52" spans="1:11" x14ac:dyDescent="0.3">
      <c r="A52" t="s">
        <v>68</v>
      </c>
      <c r="B52" t="s">
        <v>12</v>
      </c>
      <c r="C52" t="s">
        <v>9</v>
      </c>
      <c r="D52">
        <v>36</v>
      </c>
      <c r="E52" s="3">
        <v>44085</v>
      </c>
      <c r="F52" s="4">
        <v>114890</v>
      </c>
      <c r="G52" t="s">
        <v>10</v>
      </c>
      <c r="H52" t="s">
        <v>214</v>
      </c>
      <c r="I52" s="8">
        <f ca="1">(TODAY()-Append1[[#This Row],[Date joined]])/365</f>
        <v>3.580821917808219</v>
      </c>
      <c r="J52" s="4">
        <f ca="1">ROUND(IF(Append1[[#This Row],[tenure]]&gt;2,3%,2%)*Append1[[#This Row],[Salary]],0)</f>
        <v>3447</v>
      </c>
      <c r="K52" s="5">
        <f>VLOOKUP(Append1[[#This Row],[Rating]],Table7[],2,0)</f>
        <v>3</v>
      </c>
    </row>
    <row r="53" spans="1:11" x14ac:dyDescent="0.3">
      <c r="A53" t="s">
        <v>69</v>
      </c>
      <c r="B53" t="s">
        <v>5</v>
      </c>
      <c r="C53" t="s">
        <v>20</v>
      </c>
      <c r="D53">
        <v>30</v>
      </c>
      <c r="E53" s="3">
        <v>44850</v>
      </c>
      <c r="F53" s="4">
        <v>69710</v>
      </c>
      <c r="G53" t="s">
        <v>10</v>
      </c>
      <c r="H53" t="s">
        <v>214</v>
      </c>
      <c r="I53" s="8">
        <f ca="1">(TODAY()-Append1[[#This Row],[Date joined]])/365</f>
        <v>1.484931506849315</v>
      </c>
      <c r="J53" s="4">
        <f ca="1">ROUND(IF(Append1[[#This Row],[tenure]]&gt;2,3%,2%)*Append1[[#This Row],[Salary]],0)</f>
        <v>1394</v>
      </c>
      <c r="K53" s="5">
        <f>VLOOKUP(Append1[[#This Row],[Rating]],Table7[],2,0)</f>
        <v>3</v>
      </c>
    </row>
    <row r="54" spans="1:11" x14ac:dyDescent="0.3">
      <c r="A54" t="s">
        <v>70</v>
      </c>
      <c r="B54" t="s">
        <v>5</v>
      </c>
      <c r="C54" t="s">
        <v>14</v>
      </c>
      <c r="D54">
        <v>36</v>
      </c>
      <c r="E54" s="3">
        <v>44333</v>
      </c>
      <c r="F54" s="4">
        <v>71380</v>
      </c>
      <c r="G54" t="s">
        <v>10</v>
      </c>
      <c r="H54" t="s">
        <v>214</v>
      </c>
      <c r="I54" s="8">
        <f ca="1">(TODAY()-Append1[[#This Row],[Date joined]])/365</f>
        <v>2.9013698630136986</v>
      </c>
      <c r="J54" s="4">
        <f ca="1">ROUND(IF(Append1[[#This Row],[tenure]]&gt;2,3%,2%)*Append1[[#This Row],[Salary]],0)</f>
        <v>2141</v>
      </c>
      <c r="K54" s="5">
        <f>VLOOKUP(Append1[[#This Row],[Rating]],Table7[],2,0)</f>
        <v>3</v>
      </c>
    </row>
    <row r="55" spans="1:11" x14ac:dyDescent="0.3">
      <c r="A55" t="s">
        <v>71</v>
      </c>
      <c r="B55" t="s">
        <v>12</v>
      </c>
      <c r="C55" t="s">
        <v>6</v>
      </c>
      <c r="D55">
        <v>38</v>
      </c>
      <c r="E55" s="3">
        <v>44377</v>
      </c>
      <c r="F55" s="4">
        <v>109160</v>
      </c>
      <c r="G55" t="s">
        <v>40</v>
      </c>
      <c r="H55" t="s">
        <v>214</v>
      </c>
      <c r="I55" s="8">
        <f ca="1">(TODAY()-Append1[[#This Row],[Date joined]])/365</f>
        <v>2.7808219178082192</v>
      </c>
      <c r="J55" s="4">
        <f ca="1">ROUND(IF(Append1[[#This Row],[tenure]]&gt;2,3%,2%)*Append1[[#This Row],[Salary]],0)</f>
        <v>3275</v>
      </c>
      <c r="K55" s="5">
        <f>VLOOKUP(Append1[[#This Row],[Rating]],Table7[],2,0)</f>
        <v>5</v>
      </c>
    </row>
    <row r="56" spans="1:11" x14ac:dyDescent="0.3">
      <c r="A56" t="s">
        <v>72</v>
      </c>
      <c r="B56" t="s">
        <v>5</v>
      </c>
      <c r="C56" t="s">
        <v>9</v>
      </c>
      <c r="D56">
        <v>27</v>
      </c>
      <c r="E56" s="3">
        <v>44609</v>
      </c>
      <c r="F56" s="4">
        <v>113280</v>
      </c>
      <c r="G56" t="s">
        <v>46</v>
      </c>
      <c r="H56" t="s">
        <v>214</v>
      </c>
      <c r="I56" s="8">
        <f ca="1">(TODAY()-Append1[[#This Row],[Date joined]])/365</f>
        <v>2.1452054794520548</v>
      </c>
      <c r="J56" s="4">
        <f ca="1">ROUND(IF(Append1[[#This Row],[tenure]]&gt;2,3%,2%)*Append1[[#This Row],[Salary]],0)</f>
        <v>3398</v>
      </c>
      <c r="K56" s="5">
        <f>VLOOKUP(Append1[[#This Row],[Rating]],Table7[],2,0)</f>
        <v>1</v>
      </c>
    </row>
    <row r="57" spans="1:11" x14ac:dyDescent="0.3">
      <c r="A57" t="s">
        <v>73</v>
      </c>
      <c r="B57" t="s">
        <v>5</v>
      </c>
      <c r="C57" t="s">
        <v>20</v>
      </c>
      <c r="D57">
        <v>30</v>
      </c>
      <c r="E57" s="3">
        <v>44273</v>
      </c>
      <c r="F57" s="4">
        <v>69120</v>
      </c>
      <c r="G57" t="s">
        <v>10</v>
      </c>
      <c r="H57" t="s">
        <v>214</v>
      </c>
      <c r="I57" s="8">
        <f ca="1">(TODAY()-Append1[[#This Row],[Date joined]])/365</f>
        <v>3.0657534246575344</v>
      </c>
      <c r="J57" s="4">
        <f ca="1">ROUND(IF(Append1[[#This Row],[tenure]]&gt;2,3%,2%)*Append1[[#This Row],[Salary]],0)</f>
        <v>2074</v>
      </c>
      <c r="K57" s="5">
        <f>VLOOKUP(Append1[[#This Row],[Rating]],Table7[],2,0)</f>
        <v>3</v>
      </c>
    </row>
    <row r="58" spans="1:11" x14ac:dyDescent="0.3">
      <c r="A58" t="s">
        <v>74</v>
      </c>
      <c r="B58" t="s">
        <v>12</v>
      </c>
      <c r="C58" t="s">
        <v>23</v>
      </c>
      <c r="D58">
        <v>37</v>
      </c>
      <c r="E58" s="3">
        <v>44451</v>
      </c>
      <c r="F58" s="4">
        <v>118100</v>
      </c>
      <c r="G58" t="s">
        <v>10</v>
      </c>
      <c r="H58" t="s">
        <v>214</v>
      </c>
      <c r="I58" s="8">
        <f ca="1">(TODAY()-Append1[[#This Row],[Date joined]])/365</f>
        <v>2.5780821917808221</v>
      </c>
      <c r="J58" s="4">
        <f ca="1">ROUND(IF(Append1[[#This Row],[tenure]]&gt;2,3%,2%)*Append1[[#This Row],[Salary]],0)</f>
        <v>3543</v>
      </c>
      <c r="K58" s="5">
        <f>VLOOKUP(Append1[[#This Row],[Rating]],Table7[],2,0)</f>
        <v>3</v>
      </c>
    </row>
    <row r="59" spans="1:11" x14ac:dyDescent="0.3">
      <c r="A59" t="s">
        <v>75</v>
      </c>
      <c r="B59" t="s">
        <v>12</v>
      </c>
      <c r="C59" t="s">
        <v>9</v>
      </c>
      <c r="D59">
        <v>22</v>
      </c>
      <c r="E59" s="3">
        <v>44450</v>
      </c>
      <c r="F59" s="4">
        <v>76900</v>
      </c>
      <c r="G59" t="s">
        <v>7</v>
      </c>
      <c r="H59" t="s">
        <v>214</v>
      </c>
      <c r="I59" s="8">
        <f ca="1">(TODAY()-Append1[[#This Row],[Date joined]])/365</f>
        <v>2.580821917808219</v>
      </c>
      <c r="J59" s="4">
        <f ca="1">ROUND(IF(Append1[[#This Row],[tenure]]&gt;2,3%,2%)*Append1[[#This Row],[Salary]],0)</f>
        <v>2307</v>
      </c>
      <c r="K59" s="5">
        <f>VLOOKUP(Append1[[#This Row],[Rating]],Table7[],2,0)</f>
        <v>4</v>
      </c>
    </row>
    <row r="60" spans="1:11" x14ac:dyDescent="0.3">
      <c r="A60" t="s">
        <v>76</v>
      </c>
      <c r="B60" t="s">
        <v>12</v>
      </c>
      <c r="C60" t="s">
        <v>20</v>
      </c>
      <c r="D60">
        <v>43</v>
      </c>
      <c r="E60" s="3">
        <v>45045</v>
      </c>
      <c r="F60" s="4">
        <v>114870</v>
      </c>
      <c r="G60" t="s">
        <v>10</v>
      </c>
      <c r="H60" t="s">
        <v>214</v>
      </c>
      <c r="I60" s="8">
        <f ca="1">(TODAY()-Append1[[#This Row],[Date joined]])/365</f>
        <v>0.9506849315068493</v>
      </c>
      <c r="J60" s="4">
        <f ca="1">ROUND(IF(Append1[[#This Row],[tenure]]&gt;2,3%,2%)*Append1[[#This Row],[Salary]],0)</f>
        <v>2297</v>
      </c>
      <c r="K60" s="5">
        <f>VLOOKUP(Append1[[#This Row],[Rating]],Table7[],2,0)</f>
        <v>3</v>
      </c>
    </row>
    <row r="61" spans="1:11" x14ac:dyDescent="0.3">
      <c r="A61" t="s">
        <v>78</v>
      </c>
      <c r="B61" t="s">
        <v>12</v>
      </c>
      <c r="C61" t="s">
        <v>9</v>
      </c>
      <c r="D61">
        <v>28</v>
      </c>
      <c r="E61" s="3">
        <v>44486</v>
      </c>
      <c r="F61" s="4">
        <v>104770</v>
      </c>
      <c r="G61" t="s">
        <v>10</v>
      </c>
      <c r="H61" t="s">
        <v>214</v>
      </c>
      <c r="I61" s="8">
        <f ca="1">(TODAY()-Append1[[#This Row],[Date joined]])/365</f>
        <v>2.4821917808219176</v>
      </c>
      <c r="J61" s="4">
        <f ca="1">ROUND(IF(Append1[[#This Row],[tenure]]&gt;2,3%,2%)*Append1[[#This Row],[Salary]],0)</f>
        <v>3143</v>
      </c>
      <c r="K61" s="5">
        <f>VLOOKUP(Append1[[#This Row],[Rating]],Table7[],2,0)</f>
        <v>3</v>
      </c>
    </row>
    <row r="62" spans="1:11" x14ac:dyDescent="0.3">
      <c r="A62" t="s">
        <v>79</v>
      </c>
      <c r="B62" t="s">
        <v>5</v>
      </c>
      <c r="C62" t="s">
        <v>6</v>
      </c>
      <c r="D62">
        <v>27</v>
      </c>
      <c r="E62" s="3">
        <v>44134</v>
      </c>
      <c r="F62" s="4">
        <v>54970</v>
      </c>
      <c r="G62" t="s">
        <v>10</v>
      </c>
      <c r="H62" t="s">
        <v>214</v>
      </c>
      <c r="I62" s="8">
        <f ca="1">(TODAY()-Append1[[#This Row],[Date joined]])/365</f>
        <v>3.4465753424657533</v>
      </c>
      <c r="J62" s="4">
        <f ca="1">ROUND(IF(Append1[[#This Row],[tenure]]&gt;2,3%,2%)*Append1[[#This Row],[Salary]],0)</f>
        <v>1649</v>
      </c>
      <c r="K62" s="5">
        <f>VLOOKUP(Append1[[#This Row],[Rating]],Table7[],2,0)</f>
        <v>3</v>
      </c>
    </row>
    <row r="63" spans="1:11" x14ac:dyDescent="0.3">
      <c r="A63" t="s">
        <v>81</v>
      </c>
      <c r="B63" t="s">
        <v>12</v>
      </c>
      <c r="C63" t="s">
        <v>6</v>
      </c>
      <c r="D63">
        <v>38</v>
      </c>
      <c r="E63" s="3">
        <v>44329</v>
      </c>
      <c r="F63" s="4">
        <v>56870</v>
      </c>
      <c r="G63" t="s">
        <v>7</v>
      </c>
      <c r="H63" t="s">
        <v>214</v>
      </c>
      <c r="I63" s="8">
        <f ca="1">(TODAY()-Append1[[#This Row],[Date joined]])/365</f>
        <v>2.9123287671232876</v>
      </c>
      <c r="J63" s="4">
        <f ca="1">ROUND(IF(Append1[[#This Row],[tenure]]&gt;2,3%,2%)*Append1[[#This Row],[Salary]],0)</f>
        <v>1706</v>
      </c>
      <c r="K63" s="5">
        <f>VLOOKUP(Append1[[#This Row],[Rating]],Table7[],2,0)</f>
        <v>4</v>
      </c>
    </row>
    <row r="64" spans="1:11" x14ac:dyDescent="0.3">
      <c r="A64" t="s">
        <v>82</v>
      </c>
      <c r="B64" t="s">
        <v>12</v>
      </c>
      <c r="C64" t="s">
        <v>6</v>
      </c>
      <c r="D64">
        <v>25</v>
      </c>
      <c r="E64" s="3">
        <v>44205</v>
      </c>
      <c r="F64" s="4">
        <v>92700</v>
      </c>
      <c r="G64" t="s">
        <v>10</v>
      </c>
      <c r="H64" t="s">
        <v>214</v>
      </c>
      <c r="I64" s="8">
        <f ca="1">(TODAY()-Append1[[#This Row],[Date joined]])/365</f>
        <v>3.2520547945205478</v>
      </c>
      <c r="J64" s="4">
        <f ca="1">ROUND(IF(Append1[[#This Row],[tenure]]&gt;2,3%,2%)*Append1[[#This Row],[Salary]],0)</f>
        <v>2781</v>
      </c>
      <c r="K64" s="5">
        <f>VLOOKUP(Append1[[#This Row],[Rating]],Table7[],2,0)</f>
        <v>3</v>
      </c>
    </row>
    <row r="65" spans="1:11" x14ac:dyDescent="0.3">
      <c r="A65" t="s">
        <v>83</v>
      </c>
      <c r="B65" t="s">
        <v>12</v>
      </c>
      <c r="C65" t="s">
        <v>14</v>
      </c>
      <c r="D65">
        <v>21</v>
      </c>
      <c r="E65" s="3">
        <v>44317</v>
      </c>
      <c r="F65" s="4">
        <v>65920</v>
      </c>
      <c r="G65" t="s">
        <v>10</v>
      </c>
      <c r="H65" t="s">
        <v>214</v>
      </c>
      <c r="I65" s="8">
        <f ca="1">(TODAY()-Append1[[#This Row],[Date joined]])/365</f>
        <v>2.9452054794520546</v>
      </c>
      <c r="J65" s="4">
        <f ca="1">ROUND(IF(Append1[[#This Row],[tenure]]&gt;2,3%,2%)*Append1[[#This Row],[Salary]],0)</f>
        <v>1978</v>
      </c>
      <c r="K65" s="5">
        <f>VLOOKUP(Append1[[#This Row],[Rating]],Table7[],2,0)</f>
        <v>3</v>
      </c>
    </row>
    <row r="66" spans="1:11" x14ac:dyDescent="0.3">
      <c r="A66" t="s">
        <v>84</v>
      </c>
      <c r="B66" t="s">
        <v>5</v>
      </c>
      <c r="C66" t="s">
        <v>9</v>
      </c>
      <c r="D66">
        <v>26</v>
      </c>
      <c r="E66" s="3">
        <v>44225</v>
      </c>
      <c r="F66" s="4">
        <v>47360</v>
      </c>
      <c r="G66" t="s">
        <v>10</v>
      </c>
      <c r="H66" t="s">
        <v>214</v>
      </c>
      <c r="I66" s="8">
        <f ca="1">(TODAY()-Append1[[#This Row],[Date joined]])/365</f>
        <v>3.1972602739726028</v>
      </c>
      <c r="J66" s="4">
        <f ca="1">ROUND(IF(Append1[[#This Row],[tenure]]&gt;2,3%,2%)*Append1[[#This Row],[Salary]],0)</f>
        <v>1421</v>
      </c>
      <c r="K66" s="5">
        <f>VLOOKUP(Append1[[#This Row],[Rating]],Table7[],2,0)</f>
        <v>3</v>
      </c>
    </row>
    <row r="67" spans="1:11" x14ac:dyDescent="0.3">
      <c r="A67" t="s">
        <v>85</v>
      </c>
      <c r="B67" t="s">
        <v>5</v>
      </c>
      <c r="C67" t="s">
        <v>9</v>
      </c>
      <c r="D67">
        <v>30</v>
      </c>
      <c r="E67" s="3">
        <v>44666</v>
      </c>
      <c r="F67" s="4">
        <v>60570</v>
      </c>
      <c r="G67" t="s">
        <v>10</v>
      </c>
      <c r="H67" t="s">
        <v>214</v>
      </c>
      <c r="I67" s="8">
        <f ca="1">(TODAY()-Append1[[#This Row],[Date joined]])/365</f>
        <v>1.989041095890411</v>
      </c>
      <c r="J67" s="4">
        <f ca="1">ROUND(IF(Append1[[#This Row],[tenure]]&gt;2,3%,2%)*Append1[[#This Row],[Salary]],0)</f>
        <v>1211</v>
      </c>
      <c r="K67" s="5">
        <f>VLOOKUP(Append1[[#This Row],[Rating]],Table7[],2,0)</f>
        <v>3</v>
      </c>
    </row>
    <row r="68" spans="1:11" x14ac:dyDescent="0.3">
      <c r="A68" t="s">
        <v>86</v>
      </c>
      <c r="B68" t="s">
        <v>12</v>
      </c>
      <c r="C68" t="s">
        <v>9</v>
      </c>
      <c r="D68">
        <v>28</v>
      </c>
      <c r="E68" s="3">
        <v>44649</v>
      </c>
      <c r="F68" s="4">
        <v>104120</v>
      </c>
      <c r="G68" t="s">
        <v>10</v>
      </c>
      <c r="H68" t="s">
        <v>214</v>
      </c>
      <c r="I68" s="8">
        <f ca="1">(TODAY()-Append1[[#This Row],[Date joined]])/365</f>
        <v>2.0356164383561643</v>
      </c>
      <c r="J68" s="4">
        <f ca="1">ROUND(IF(Append1[[#This Row],[tenure]]&gt;2,3%,2%)*Append1[[#This Row],[Salary]],0)</f>
        <v>3124</v>
      </c>
      <c r="K68" s="5">
        <f>VLOOKUP(Append1[[#This Row],[Rating]],Table7[],2,0)</f>
        <v>3</v>
      </c>
    </row>
    <row r="69" spans="1:11" x14ac:dyDescent="0.3">
      <c r="A69" t="s">
        <v>87</v>
      </c>
      <c r="B69" t="s">
        <v>5</v>
      </c>
      <c r="C69" t="s">
        <v>20</v>
      </c>
      <c r="D69">
        <v>37</v>
      </c>
      <c r="E69" s="3">
        <v>44338</v>
      </c>
      <c r="F69" s="4">
        <v>88050</v>
      </c>
      <c r="G69" t="s">
        <v>15</v>
      </c>
      <c r="H69" t="s">
        <v>214</v>
      </c>
      <c r="I69" s="8">
        <f ca="1">(TODAY()-Append1[[#This Row],[Date joined]])/365</f>
        <v>2.8876712328767122</v>
      </c>
      <c r="J69" s="4">
        <f ca="1">ROUND(IF(Append1[[#This Row],[tenure]]&gt;2,3%,2%)*Append1[[#This Row],[Salary]],0)</f>
        <v>2642</v>
      </c>
      <c r="K69" s="5">
        <f>VLOOKUP(Append1[[#This Row],[Rating]],Table7[],2,0)</f>
        <v>2</v>
      </c>
    </row>
    <row r="70" spans="1:11" x14ac:dyDescent="0.3">
      <c r="A70" t="s">
        <v>88</v>
      </c>
      <c r="B70" t="s">
        <v>5</v>
      </c>
      <c r="C70" t="s">
        <v>20</v>
      </c>
      <c r="D70">
        <v>24</v>
      </c>
      <c r="E70" s="3">
        <v>44686</v>
      </c>
      <c r="F70" s="4">
        <v>100420</v>
      </c>
      <c r="G70" t="s">
        <v>10</v>
      </c>
      <c r="H70" t="s">
        <v>214</v>
      </c>
      <c r="I70" s="8">
        <f ca="1">(TODAY()-Append1[[#This Row],[Date joined]])/365</f>
        <v>1.9342465753424658</v>
      </c>
      <c r="J70" s="4">
        <f ca="1">ROUND(IF(Append1[[#This Row],[tenure]]&gt;2,3%,2%)*Append1[[#This Row],[Salary]],0)</f>
        <v>2008</v>
      </c>
      <c r="K70" s="5">
        <f>VLOOKUP(Append1[[#This Row],[Rating]],Table7[],2,0)</f>
        <v>3</v>
      </c>
    </row>
    <row r="71" spans="1:11" x14ac:dyDescent="0.3">
      <c r="A71" t="s">
        <v>89</v>
      </c>
      <c r="B71" t="s">
        <v>12</v>
      </c>
      <c r="C71" t="s">
        <v>9</v>
      </c>
      <c r="D71">
        <v>30</v>
      </c>
      <c r="E71" s="3">
        <v>44850</v>
      </c>
      <c r="F71" s="4">
        <v>114180</v>
      </c>
      <c r="G71" t="s">
        <v>10</v>
      </c>
      <c r="H71" t="s">
        <v>214</v>
      </c>
      <c r="I71" s="8">
        <f ca="1">(TODAY()-Append1[[#This Row],[Date joined]])/365</f>
        <v>1.484931506849315</v>
      </c>
      <c r="J71" s="4">
        <f ca="1">ROUND(IF(Append1[[#This Row],[tenure]]&gt;2,3%,2%)*Append1[[#This Row],[Salary]],0)</f>
        <v>2284</v>
      </c>
      <c r="K71" s="5">
        <f>VLOOKUP(Append1[[#This Row],[Rating]],Table7[],2,0)</f>
        <v>3</v>
      </c>
    </row>
    <row r="72" spans="1:11" x14ac:dyDescent="0.3">
      <c r="A72" t="s">
        <v>90</v>
      </c>
      <c r="B72" t="s">
        <v>12</v>
      </c>
      <c r="C72" t="s">
        <v>20</v>
      </c>
      <c r="D72">
        <v>21</v>
      </c>
      <c r="E72" s="3">
        <v>44678</v>
      </c>
      <c r="F72" s="4">
        <v>33920</v>
      </c>
      <c r="G72" t="s">
        <v>10</v>
      </c>
      <c r="H72" t="s">
        <v>214</v>
      </c>
      <c r="I72" s="8">
        <f ca="1">(TODAY()-Append1[[#This Row],[Date joined]])/365</f>
        <v>1.9561643835616438</v>
      </c>
      <c r="J72" s="4">
        <f ca="1">ROUND(IF(Append1[[#This Row],[tenure]]&gt;2,3%,2%)*Append1[[#This Row],[Salary]],0)</f>
        <v>678</v>
      </c>
      <c r="K72" s="5">
        <f>VLOOKUP(Append1[[#This Row],[Rating]],Table7[],2,0)</f>
        <v>3</v>
      </c>
    </row>
    <row r="73" spans="1:11" x14ac:dyDescent="0.3">
      <c r="A73" t="s">
        <v>91</v>
      </c>
      <c r="B73" t="s">
        <v>5</v>
      </c>
      <c r="C73" t="s">
        <v>9</v>
      </c>
      <c r="D73">
        <v>23</v>
      </c>
      <c r="E73" s="3">
        <v>44440</v>
      </c>
      <c r="F73" s="4">
        <v>106460</v>
      </c>
      <c r="G73" t="s">
        <v>10</v>
      </c>
      <c r="H73" t="s">
        <v>214</v>
      </c>
      <c r="I73" s="8">
        <f ca="1">(TODAY()-Append1[[#This Row],[Date joined]])/365</f>
        <v>2.6082191780821917</v>
      </c>
      <c r="J73" s="4">
        <f ca="1">ROUND(IF(Append1[[#This Row],[tenure]]&gt;2,3%,2%)*Append1[[#This Row],[Salary]],0)</f>
        <v>3194</v>
      </c>
      <c r="K73" s="5">
        <f>VLOOKUP(Append1[[#This Row],[Rating]],Table7[],2,0)</f>
        <v>3</v>
      </c>
    </row>
    <row r="74" spans="1:11" x14ac:dyDescent="0.3">
      <c r="A74" t="s">
        <v>92</v>
      </c>
      <c r="B74" t="s">
        <v>5</v>
      </c>
      <c r="C74" t="s">
        <v>9</v>
      </c>
      <c r="D74">
        <v>35</v>
      </c>
      <c r="E74" s="3">
        <v>44727</v>
      </c>
      <c r="F74" s="4">
        <v>40400</v>
      </c>
      <c r="G74" t="s">
        <v>10</v>
      </c>
      <c r="H74" t="s">
        <v>214</v>
      </c>
      <c r="I74" s="8">
        <f ca="1">(TODAY()-Append1[[#This Row],[Date joined]])/365</f>
        <v>1.821917808219178</v>
      </c>
      <c r="J74" s="4">
        <f ca="1">ROUND(IF(Append1[[#This Row],[tenure]]&gt;2,3%,2%)*Append1[[#This Row],[Salary]],0)</f>
        <v>808</v>
      </c>
      <c r="K74" s="5">
        <f>VLOOKUP(Append1[[#This Row],[Rating]],Table7[],2,0)</f>
        <v>3</v>
      </c>
    </row>
    <row r="75" spans="1:11" x14ac:dyDescent="0.3">
      <c r="A75" t="s">
        <v>93</v>
      </c>
      <c r="B75" t="s">
        <v>5</v>
      </c>
      <c r="C75" t="s">
        <v>14</v>
      </c>
      <c r="D75">
        <v>27</v>
      </c>
      <c r="E75" s="3">
        <v>44236</v>
      </c>
      <c r="F75" s="4">
        <v>91650</v>
      </c>
      <c r="G75" t="s">
        <v>7</v>
      </c>
      <c r="H75" t="s">
        <v>214</v>
      </c>
      <c r="I75" s="8">
        <f ca="1">(TODAY()-Append1[[#This Row],[Date joined]])/365</f>
        <v>3.1671232876712327</v>
      </c>
      <c r="J75" s="4">
        <f ca="1">ROUND(IF(Append1[[#This Row],[tenure]]&gt;2,3%,2%)*Append1[[#This Row],[Salary]],0)</f>
        <v>2750</v>
      </c>
      <c r="K75" s="5">
        <f>VLOOKUP(Append1[[#This Row],[Rating]],Table7[],2,0)</f>
        <v>4</v>
      </c>
    </row>
    <row r="76" spans="1:11" x14ac:dyDescent="0.3">
      <c r="A76" t="s">
        <v>94</v>
      </c>
      <c r="B76" t="s">
        <v>5</v>
      </c>
      <c r="C76" t="s">
        <v>6</v>
      </c>
      <c r="D76">
        <v>43</v>
      </c>
      <c r="E76" s="3">
        <v>44620</v>
      </c>
      <c r="F76" s="4">
        <v>36040</v>
      </c>
      <c r="G76" t="s">
        <v>10</v>
      </c>
      <c r="H76" t="s">
        <v>214</v>
      </c>
      <c r="I76" s="8">
        <f ca="1">(TODAY()-Append1[[#This Row],[Date joined]])/365</f>
        <v>2.1150684931506851</v>
      </c>
      <c r="J76" s="4">
        <f ca="1">ROUND(IF(Append1[[#This Row],[tenure]]&gt;2,3%,2%)*Append1[[#This Row],[Salary]],0)</f>
        <v>1081</v>
      </c>
      <c r="K76" s="5">
        <f>VLOOKUP(Append1[[#This Row],[Rating]],Table7[],2,0)</f>
        <v>3</v>
      </c>
    </row>
    <row r="77" spans="1:11" x14ac:dyDescent="0.3">
      <c r="A77" t="s">
        <v>95</v>
      </c>
      <c r="B77" t="s">
        <v>12</v>
      </c>
      <c r="C77" t="s">
        <v>20</v>
      </c>
      <c r="D77">
        <v>40</v>
      </c>
      <c r="E77" s="3">
        <v>44381</v>
      </c>
      <c r="F77" s="4">
        <v>104410</v>
      </c>
      <c r="G77" t="s">
        <v>10</v>
      </c>
      <c r="H77" t="s">
        <v>214</v>
      </c>
      <c r="I77" s="8">
        <f ca="1">(TODAY()-Append1[[#This Row],[Date joined]])/365</f>
        <v>2.7698630136986302</v>
      </c>
      <c r="J77" s="4">
        <f ca="1">ROUND(IF(Append1[[#This Row],[tenure]]&gt;2,3%,2%)*Append1[[#This Row],[Salary]],0)</f>
        <v>3132</v>
      </c>
      <c r="K77" s="5">
        <f>VLOOKUP(Append1[[#This Row],[Rating]],Table7[],2,0)</f>
        <v>3</v>
      </c>
    </row>
    <row r="78" spans="1:11" x14ac:dyDescent="0.3">
      <c r="A78" t="s">
        <v>96</v>
      </c>
      <c r="B78" t="s">
        <v>5</v>
      </c>
      <c r="C78" t="s">
        <v>14</v>
      </c>
      <c r="D78">
        <v>30</v>
      </c>
      <c r="E78" s="3">
        <v>44606</v>
      </c>
      <c r="F78" s="4">
        <v>96800</v>
      </c>
      <c r="G78" t="s">
        <v>10</v>
      </c>
      <c r="H78" t="s">
        <v>214</v>
      </c>
      <c r="I78" s="8">
        <f ca="1">(TODAY()-Append1[[#This Row],[Date joined]])/365</f>
        <v>2.1534246575342464</v>
      </c>
      <c r="J78" s="4">
        <f ca="1">ROUND(IF(Append1[[#This Row],[tenure]]&gt;2,3%,2%)*Append1[[#This Row],[Salary]],0)</f>
        <v>2904</v>
      </c>
      <c r="K78" s="5">
        <f>VLOOKUP(Append1[[#This Row],[Rating]],Table7[],2,0)</f>
        <v>3</v>
      </c>
    </row>
    <row r="79" spans="1:11" x14ac:dyDescent="0.3">
      <c r="A79" t="s">
        <v>97</v>
      </c>
      <c r="B79" t="s">
        <v>12</v>
      </c>
      <c r="C79" t="s">
        <v>14</v>
      </c>
      <c r="D79">
        <v>34</v>
      </c>
      <c r="E79" s="3">
        <v>44459</v>
      </c>
      <c r="F79" s="4">
        <v>85000</v>
      </c>
      <c r="G79" t="s">
        <v>10</v>
      </c>
      <c r="H79" t="s">
        <v>214</v>
      </c>
      <c r="I79" s="8">
        <f ca="1">(TODAY()-Append1[[#This Row],[Date joined]])/365</f>
        <v>2.5561643835616437</v>
      </c>
      <c r="J79" s="4">
        <f ca="1">ROUND(IF(Append1[[#This Row],[tenure]]&gt;2,3%,2%)*Append1[[#This Row],[Salary]],0)</f>
        <v>2550</v>
      </c>
      <c r="K79" s="5">
        <f>VLOOKUP(Append1[[#This Row],[Rating]],Table7[],2,0)</f>
        <v>3</v>
      </c>
    </row>
    <row r="80" spans="1:11" x14ac:dyDescent="0.3">
      <c r="A80" t="s">
        <v>98</v>
      </c>
      <c r="B80" t="s">
        <v>5</v>
      </c>
      <c r="C80" t="s">
        <v>6</v>
      </c>
      <c r="D80">
        <v>28</v>
      </c>
      <c r="E80" s="3">
        <v>44820</v>
      </c>
      <c r="F80" s="4">
        <v>43510</v>
      </c>
      <c r="G80" t="s">
        <v>46</v>
      </c>
      <c r="H80" t="s">
        <v>214</v>
      </c>
      <c r="I80" s="8">
        <f ca="1">(TODAY()-Append1[[#This Row],[Date joined]])/365</f>
        <v>1.5671232876712329</v>
      </c>
      <c r="J80" s="4">
        <f ca="1">ROUND(IF(Append1[[#This Row],[tenure]]&gt;2,3%,2%)*Append1[[#This Row],[Salary]],0)</f>
        <v>870</v>
      </c>
      <c r="K80" s="5">
        <f>VLOOKUP(Append1[[#This Row],[Rating]],Table7[],2,0)</f>
        <v>1</v>
      </c>
    </row>
    <row r="81" spans="1:11" x14ac:dyDescent="0.3">
      <c r="A81" t="s">
        <v>99</v>
      </c>
      <c r="B81" t="s">
        <v>5</v>
      </c>
      <c r="C81" t="s">
        <v>14</v>
      </c>
      <c r="D81">
        <v>33</v>
      </c>
      <c r="E81" s="3">
        <v>44243</v>
      </c>
      <c r="F81" s="4">
        <v>59430</v>
      </c>
      <c r="G81" t="s">
        <v>10</v>
      </c>
      <c r="H81" t="s">
        <v>214</v>
      </c>
      <c r="I81" s="8">
        <f ca="1">(TODAY()-Append1[[#This Row],[Date joined]])/365</f>
        <v>3.1479452054794521</v>
      </c>
      <c r="J81" s="4">
        <f ca="1">ROUND(IF(Append1[[#This Row],[tenure]]&gt;2,3%,2%)*Append1[[#This Row],[Salary]],0)</f>
        <v>1783</v>
      </c>
      <c r="K81" s="5">
        <f>VLOOKUP(Append1[[#This Row],[Rating]],Table7[],2,0)</f>
        <v>3</v>
      </c>
    </row>
    <row r="82" spans="1:11" x14ac:dyDescent="0.3">
      <c r="A82" t="s">
        <v>100</v>
      </c>
      <c r="B82" t="s">
        <v>12</v>
      </c>
      <c r="C82" t="s">
        <v>14</v>
      </c>
      <c r="D82">
        <v>33</v>
      </c>
      <c r="E82" s="3">
        <v>44067</v>
      </c>
      <c r="F82" s="4">
        <v>65360</v>
      </c>
      <c r="G82" t="s">
        <v>10</v>
      </c>
      <c r="H82" t="s">
        <v>214</v>
      </c>
      <c r="I82" s="8">
        <f ca="1">(TODAY()-Append1[[#This Row],[Date joined]])/365</f>
        <v>3.6301369863013697</v>
      </c>
      <c r="J82" s="4">
        <f ca="1">ROUND(IF(Append1[[#This Row],[tenure]]&gt;2,3%,2%)*Append1[[#This Row],[Salary]],0)</f>
        <v>1961</v>
      </c>
      <c r="K82" s="5">
        <f>VLOOKUP(Append1[[#This Row],[Rating]],Table7[],2,0)</f>
        <v>3</v>
      </c>
    </row>
    <row r="83" spans="1:11" x14ac:dyDescent="0.3">
      <c r="A83" t="s">
        <v>101</v>
      </c>
      <c r="B83" t="s">
        <v>12</v>
      </c>
      <c r="C83" t="s">
        <v>9</v>
      </c>
      <c r="D83">
        <v>32</v>
      </c>
      <c r="E83" s="3">
        <v>44611</v>
      </c>
      <c r="F83" s="4">
        <v>41570</v>
      </c>
      <c r="G83" t="s">
        <v>10</v>
      </c>
      <c r="H83" t="s">
        <v>214</v>
      </c>
      <c r="I83" s="8">
        <f ca="1">(TODAY()-Append1[[#This Row],[Date joined]])/365</f>
        <v>2.1397260273972605</v>
      </c>
      <c r="J83" s="4">
        <f ca="1">ROUND(IF(Append1[[#This Row],[tenure]]&gt;2,3%,2%)*Append1[[#This Row],[Salary]],0)</f>
        <v>1247</v>
      </c>
      <c r="K83" s="5">
        <f>VLOOKUP(Append1[[#This Row],[Rating]],Table7[],2,0)</f>
        <v>3</v>
      </c>
    </row>
    <row r="84" spans="1:11" x14ac:dyDescent="0.3">
      <c r="A84" t="s">
        <v>102</v>
      </c>
      <c r="B84" t="s">
        <v>12</v>
      </c>
      <c r="C84" t="s">
        <v>20</v>
      </c>
      <c r="D84">
        <v>33</v>
      </c>
      <c r="E84" s="3">
        <v>44312</v>
      </c>
      <c r="F84" s="4">
        <v>75280</v>
      </c>
      <c r="G84" t="s">
        <v>10</v>
      </c>
      <c r="H84" t="s">
        <v>214</v>
      </c>
      <c r="I84" s="8">
        <f ca="1">(TODAY()-Append1[[#This Row],[Date joined]])/365</f>
        <v>2.9589041095890409</v>
      </c>
      <c r="J84" s="4">
        <f ca="1">ROUND(IF(Append1[[#This Row],[tenure]]&gt;2,3%,2%)*Append1[[#This Row],[Salary]],0)</f>
        <v>2258</v>
      </c>
      <c r="K84" s="5">
        <f>VLOOKUP(Append1[[#This Row],[Rating]],Table7[],2,0)</f>
        <v>3</v>
      </c>
    </row>
    <row r="85" spans="1:11" x14ac:dyDescent="0.3">
      <c r="A85" t="s">
        <v>103</v>
      </c>
      <c r="B85" t="s">
        <v>5</v>
      </c>
      <c r="C85" t="s">
        <v>6</v>
      </c>
      <c r="D85">
        <v>33</v>
      </c>
      <c r="E85" s="3">
        <v>44385</v>
      </c>
      <c r="F85" s="4">
        <v>74550</v>
      </c>
      <c r="G85" t="s">
        <v>10</v>
      </c>
      <c r="H85" t="s">
        <v>214</v>
      </c>
      <c r="I85" s="8">
        <f ca="1">(TODAY()-Append1[[#This Row],[Date joined]])/365</f>
        <v>2.7589041095890412</v>
      </c>
      <c r="J85" s="4">
        <f ca="1">ROUND(IF(Append1[[#This Row],[tenure]]&gt;2,3%,2%)*Append1[[#This Row],[Salary]],0)</f>
        <v>2237</v>
      </c>
      <c r="K85" s="5">
        <f>VLOOKUP(Append1[[#This Row],[Rating]],Table7[],2,0)</f>
        <v>3</v>
      </c>
    </row>
    <row r="86" spans="1:11" x14ac:dyDescent="0.3">
      <c r="A86" t="s">
        <v>104</v>
      </c>
      <c r="B86" t="s">
        <v>5</v>
      </c>
      <c r="C86" t="s">
        <v>9</v>
      </c>
      <c r="D86">
        <v>30</v>
      </c>
      <c r="E86" s="3">
        <v>44701</v>
      </c>
      <c r="F86" s="4">
        <v>67950</v>
      </c>
      <c r="G86" t="s">
        <v>10</v>
      </c>
      <c r="H86" t="s">
        <v>214</v>
      </c>
      <c r="I86" s="8">
        <f ca="1">(TODAY()-Append1[[#This Row],[Date joined]])/365</f>
        <v>1.893150684931507</v>
      </c>
      <c r="J86" s="4">
        <f ca="1">ROUND(IF(Append1[[#This Row],[tenure]]&gt;2,3%,2%)*Append1[[#This Row],[Salary]],0)</f>
        <v>1359</v>
      </c>
      <c r="K86" s="5">
        <f>VLOOKUP(Append1[[#This Row],[Rating]],Table7[],2,0)</f>
        <v>3</v>
      </c>
    </row>
    <row r="87" spans="1:11" x14ac:dyDescent="0.3">
      <c r="A87" t="s">
        <v>105</v>
      </c>
      <c r="B87" t="s">
        <v>5</v>
      </c>
      <c r="C87" t="s">
        <v>14</v>
      </c>
      <c r="D87">
        <v>42</v>
      </c>
      <c r="E87" s="3">
        <v>44731</v>
      </c>
      <c r="F87" s="4">
        <v>70270</v>
      </c>
      <c r="G87" t="s">
        <v>15</v>
      </c>
      <c r="H87" t="s">
        <v>214</v>
      </c>
      <c r="I87" s="8">
        <f ca="1">(TODAY()-Append1[[#This Row],[Date joined]])/365</f>
        <v>1.810958904109589</v>
      </c>
      <c r="J87" s="4">
        <f ca="1">ROUND(IF(Append1[[#This Row],[tenure]]&gt;2,3%,2%)*Append1[[#This Row],[Salary]],0)</f>
        <v>1405</v>
      </c>
      <c r="K87" s="5">
        <f>VLOOKUP(Append1[[#This Row],[Rating]],Table7[],2,0)</f>
        <v>2</v>
      </c>
    </row>
    <row r="88" spans="1:11" x14ac:dyDescent="0.3">
      <c r="A88" t="s">
        <v>106</v>
      </c>
      <c r="B88" t="s">
        <v>5</v>
      </c>
      <c r="C88" t="s">
        <v>9</v>
      </c>
      <c r="D88">
        <v>26</v>
      </c>
      <c r="E88" s="3">
        <v>44411</v>
      </c>
      <c r="F88" s="4">
        <v>53540</v>
      </c>
      <c r="G88" t="s">
        <v>10</v>
      </c>
      <c r="H88" t="s">
        <v>214</v>
      </c>
      <c r="I88" s="8">
        <f ca="1">(TODAY()-Append1[[#This Row],[Date joined]])/365</f>
        <v>2.6876712328767125</v>
      </c>
      <c r="J88" s="4">
        <f ca="1">ROUND(IF(Append1[[#This Row],[tenure]]&gt;2,3%,2%)*Append1[[#This Row],[Salary]],0)</f>
        <v>1606</v>
      </c>
      <c r="K88" s="5">
        <f>VLOOKUP(Append1[[#This Row],[Rating]],Table7[],2,0)</f>
        <v>3</v>
      </c>
    </row>
    <row r="89" spans="1:11" x14ac:dyDescent="0.3">
      <c r="A89" t="s">
        <v>110</v>
      </c>
      <c r="B89" t="s">
        <v>5</v>
      </c>
      <c r="C89" t="s">
        <v>20</v>
      </c>
      <c r="D89">
        <v>20</v>
      </c>
      <c r="E89" s="3">
        <v>44122</v>
      </c>
      <c r="F89" s="4">
        <v>112650</v>
      </c>
      <c r="G89" t="s">
        <v>10</v>
      </c>
      <c r="H89" t="s">
        <v>205</v>
      </c>
      <c r="I89" s="8">
        <f ca="1">(TODAY()-Append1[[#This Row],[Date joined]])/365</f>
        <v>3.4794520547945207</v>
      </c>
      <c r="J89" s="4">
        <f ca="1">ROUND(IF(Append1[[#This Row],[tenure]]&gt;2,3%,2%)*Append1[[#This Row],[Salary]],0)</f>
        <v>3380</v>
      </c>
      <c r="K89" s="5">
        <f>VLOOKUP(Append1[[#This Row],[Rating]],Table7[],2,0)</f>
        <v>3</v>
      </c>
    </row>
    <row r="90" spans="1:11" x14ac:dyDescent="0.3">
      <c r="A90" t="s">
        <v>111</v>
      </c>
      <c r="B90" t="s">
        <v>12</v>
      </c>
      <c r="C90" t="s">
        <v>20</v>
      </c>
      <c r="D90">
        <v>32</v>
      </c>
      <c r="E90" s="3">
        <v>44293</v>
      </c>
      <c r="F90" s="4">
        <v>43840</v>
      </c>
      <c r="G90" t="s">
        <v>7</v>
      </c>
      <c r="H90" t="s">
        <v>205</v>
      </c>
      <c r="I90" s="8">
        <f ca="1">(TODAY()-Append1[[#This Row],[Date joined]])/365</f>
        <v>3.010958904109589</v>
      </c>
      <c r="J90" s="4">
        <f ca="1">ROUND(IF(Append1[[#This Row],[tenure]]&gt;2,3%,2%)*Append1[[#This Row],[Salary]],0)</f>
        <v>1315</v>
      </c>
      <c r="K90" s="5">
        <f>VLOOKUP(Append1[[#This Row],[Rating]],Table7[],2,0)</f>
        <v>4</v>
      </c>
    </row>
    <row r="91" spans="1:11" x14ac:dyDescent="0.3">
      <c r="A91" t="s">
        <v>112</v>
      </c>
      <c r="B91" t="s">
        <v>5</v>
      </c>
      <c r="C91" t="s">
        <v>9</v>
      </c>
      <c r="D91">
        <v>31</v>
      </c>
      <c r="E91" s="3">
        <v>44663</v>
      </c>
      <c r="F91" s="4">
        <v>103550</v>
      </c>
      <c r="G91" t="s">
        <v>10</v>
      </c>
      <c r="H91" t="s">
        <v>205</v>
      </c>
      <c r="I91" s="8">
        <f ca="1">(TODAY()-Append1[[#This Row],[Date joined]])/365</f>
        <v>1.9972602739726026</v>
      </c>
      <c r="J91" s="4">
        <f ca="1">ROUND(IF(Append1[[#This Row],[tenure]]&gt;2,3%,2%)*Append1[[#This Row],[Salary]],0)</f>
        <v>2071</v>
      </c>
      <c r="K91" s="5">
        <f>VLOOKUP(Append1[[#This Row],[Rating]],Table7[],2,0)</f>
        <v>3</v>
      </c>
    </row>
    <row r="92" spans="1:11" x14ac:dyDescent="0.3">
      <c r="A92" t="s">
        <v>113</v>
      </c>
      <c r="B92" t="s">
        <v>12</v>
      </c>
      <c r="C92" t="s">
        <v>23</v>
      </c>
      <c r="D92">
        <v>32</v>
      </c>
      <c r="E92" s="3">
        <v>44339</v>
      </c>
      <c r="F92" s="4">
        <v>45510</v>
      </c>
      <c r="G92" t="s">
        <v>10</v>
      </c>
      <c r="H92" t="s">
        <v>205</v>
      </c>
      <c r="I92" s="8">
        <f ca="1">(TODAY()-Append1[[#This Row],[Date joined]])/365</f>
        <v>2.8849315068493149</v>
      </c>
      <c r="J92" s="4">
        <f ca="1">ROUND(IF(Append1[[#This Row],[tenure]]&gt;2,3%,2%)*Append1[[#This Row],[Salary]],0)</f>
        <v>1365</v>
      </c>
      <c r="K92" s="5">
        <f>VLOOKUP(Append1[[#This Row],[Rating]],Table7[],2,0)</f>
        <v>3</v>
      </c>
    </row>
    <row r="93" spans="1:11" x14ac:dyDescent="0.3">
      <c r="A93" t="s">
        <v>114</v>
      </c>
      <c r="B93" t="s">
        <v>206</v>
      </c>
      <c r="C93" t="s">
        <v>14</v>
      </c>
      <c r="D93">
        <v>37</v>
      </c>
      <c r="E93" s="3">
        <v>44085</v>
      </c>
      <c r="F93" s="4">
        <v>115440</v>
      </c>
      <c r="G93" t="s">
        <v>15</v>
      </c>
      <c r="H93" t="s">
        <v>205</v>
      </c>
      <c r="I93" s="8">
        <f ca="1">(TODAY()-Append1[[#This Row],[Date joined]])/365</f>
        <v>3.580821917808219</v>
      </c>
      <c r="J93" s="4">
        <f ca="1">ROUND(IF(Append1[[#This Row],[tenure]]&gt;2,3%,2%)*Append1[[#This Row],[Salary]],0)</f>
        <v>3463</v>
      </c>
      <c r="K93" s="5">
        <f>VLOOKUP(Append1[[#This Row],[Rating]],Table7[],2,0)</f>
        <v>2</v>
      </c>
    </row>
    <row r="94" spans="1:11" x14ac:dyDescent="0.3">
      <c r="A94" t="s">
        <v>115</v>
      </c>
      <c r="B94" t="s">
        <v>12</v>
      </c>
      <c r="C94" t="s">
        <v>6</v>
      </c>
      <c r="D94">
        <v>38</v>
      </c>
      <c r="E94" s="3">
        <v>44268</v>
      </c>
      <c r="F94" s="4">
        <v>56870</v>
      </c>
      <c r="G94" t="s">
        <v>7</v>
      </c>
      <c r="H94" t="s">
        <v>205</v>
      </c>
      <c r="I94" s="8">
        <f ca="1">(TODAY()-Append1[[#This Row],[Date joined]])/365</f>
        <v>3.0794520547945203</v>
      </c>
      <c r="J94" s="4">
        <f ca="1">ROUND(IF(Append1[[#This Row],[tenure]]&gt;2,3%,2%)*Append1[[#This Row],[Salary]],0)</f>
        <v>1706</v>
      </c>
      <c r="K94" s="5">
        <f>VLOOKUP(Append1[[#This Row],[Rating]],Table7[],2,0)</f>
        <v>4</v>
      </c>
    </row>
    <row r="95" spans="1:11" x14ac:dyDescent="0.3">
      <c r="A95" t="s">
        <v>116</v>
      </c>
      <c r="B95" t="s">
        <v>12</v>
      </c>
      <c r="C95" t="s">
        <v>6</v>
      </c>
      <c r="D95">
        <v>25</v>
      </c>
      <c r="E95" s="3">
        <v>44144</v>
      </c>
      <c r="F95" s="4">
        <v>92700</v>
      </c>
      <c r="G95" t="s">
        <v>10</v>
      </c>
      <c r="H95" t="s">
        <v>205</v>
      </c>
      <c r="I95" s="8">
        <f ca="1">(TODAY()-Append1[[#This Row],[Date joined]])/365</f>
        <v>3.419178082191781</v>
      </c>
      <c r="J95" s="4">
        <f ca="1">ROUND(IF(Append1[[#This Row],[tenure]]&gt;2,3%,2%)*Append1[[#This Row],[Salary]],0)</f>
        <v>2781</v>
      </c>
      <c r="K95" s="5">
        <f>VLOOKUP(Append1[[#This Row],[Rating]],Table7[],2,0)</f>
        <v>3</v>
      </c>
    </row>
    <row r="96" spans="1:11" x14ac:dyDescent="0.3">
      <c r="A96" t="s">
        <v>117</v>
      </c>
      <c r="B96" t="s">
        <v>206</v>
      </c>
      <c r="C96" t="s">
        <v>20</v>
      </c>
      <c r="D96">
        <v>32</v>
      </c>
      <c r="E96" s="3">
        <v>44713</v>
      </c>
      <c r="F96" s="4">
        <v>91310</v>
      </c>
      <c r="G96" t="s">
        <v>10</v>
      </c>
      <c r="H96" t="s">
        <v>205</v>
      </c>
      <c r="I96" s="8">
        <f ca="1">(TODAY()-Append1[[#This Row],[Date joined]])/365</f>
        <v>1.8602739726027397</v>
      </c>
      <c r="J96" s="4">
        <f ca="1">ROUND(IF(Append1[[#This Row],[tenure]]&gt;2,3%,2%)*Append1[[#This Row],[Salary]],0)</f>
        <v>1826</v>
      </c>
      <c r="K96" s="5">
        <f>VLOOKUP(Append1[[#This Row],[Rating]],Table7[],2,0)</f>
        <v>3</v>
      </c>
    </row>
    <row r="97" spans="1:11" x14ac:dyDescent="0.3">
      <c r="A97" t="s">
        <v>118</v>
      </c>
      <c r="B97" t="s">
        <v>5</v>
      </c>
      <c r="C97" t="s">
        <v>6</v>
      </c>
      <c r="D97">
        <v>33</v>
      </c>
      <c r="E97" s="3">
        <v>44324</v>
      </c>
      <c r="F97" s="4">
        <v>74550</v>
      </c>
      <c r="G97" t="s">
        <v>10</v>
      </c>
      <c r="H97" t="s">
        <v>205</v>
      </c>
      <c r="I97" s="8">
        <f ca="1">(TODAY()-Append1[[#This Row],[Date joined]])/365</f>
        <v>2.9260273972602739</v>
      </c>
      <c r="J97" s="4">
        <f ca="1">ROUND(IF(Append1[[#This Row],[tenure]]&gt;2,3%,2%)*Append1[[#This Row],[Salary]],0)</f>
        <v>2237</v>
      </c>
      <c r="K97" s="5">
        <f>VLOOKUP(Append1[[#This Row],[Rating]],Table7[],2,0)</f>
        <v>3</v>
      </c>
    </row>
    <row r="98" spans="1:11" x14ac:dyDescent="0.3">
      <c r="A98" t="s">
        <v>119</v>
      </c>
      <c r="B98" t="s">
        <v>5</v>
      </c>
      <c r="C98" t="s">
        <v>9</v>
      </c>
      <c r="D98">
        <v>25</v>
      </c>
      <c r="E98" s="3">
        <v>44665</v>
      </c>
      <c r="F98" s="4">
        <v>109190</v>
      </c>
      <c r="G98" t="s">
        <v>7</v>
      </c>
      <c r="H98" t="s">
        <v>205</v>
      </c>
      <c r="I98" s="8">
        <f ca="1">(TODAY()-Append1[[#This Row],[Date joined]])/365</f>
        <v>1.9917808219178081</v>
      </c>
      <c r="J98" s="4">
        <f ca="1">ROUND(IF(Append1[[#This Row],[tenure]]&gt;2,3%,2%)*Append1[[#This Row],[Salary]],0)</f>
        <v>2184</v>
      </c>
      <c r="K98" s="5">
        <f>VLOOKUP(Append1[[#This Row],[Rating]],Table7[],2,0)</f>
        <v>4</v>
      </c>
    </row>
    <row r="99" spans="1:11" x14ac:dyDescent="0.3">
      <c r="A99" t="s">
        <v>120</v>
      </c>
      <c r="B99" t="s">
        <v>12</v>
      </c>
      <c r="C99" t="s">
        <v>20</v>
      </c>
      <c r="D99">
        <v>40</v>
      </c>
      <c r="E99" s="3">
        <v>44320</v>
      </c>
      <c r="F99" s="4">
        <v>104410</v>
      </c>
      <c r="G99" t="s">
        <v>10</v>
      </c>
      <c r="H99" t="s">
        <v>205</v>
      </c>
      <c r="I99" s="8">
        <f ca="1">(TODAY()-Append1[[#This Row],[Date joined]])/365</f>
        <v>2.9369863013698629</v>
      </c>
      <c r="J99" s="4">
        <f ca="1">ROUND(IF(Append1[[#This Row],[tenure]]&gt;2,3%,2%)*Append1[[#This Row],[Salary]],0)</f>
        <v>3132</v>
      </c>
      <c r="K99" s="5">
        <f>VLOOKUP(Append1[[#This Row],[Rating]],Table7[],2,0)</f>
        <v>3</v>
      </c>
    </row>
    <row r="100" spans="1:11" x14ac:dyDescent="0.3">
      <c r="A100" t="s">
        <v>121</v>
      </c>
      <c r="B100" t="s">
        <v>5</v>
      </c>
      <c r="C100" t="s">
        <v>14</v>
      </c>
      <c r="D100">
        <v>30</v>
      </c>
      <c r="E100" s="3">
        <v>44544</v>
      </c>
      <c r="F100" s="4">
        <v>96800</v>
      </c>
      <c r="G100" t="s">
        <v>10</v>
      </c>
      <c r="H100" t="s">
        <v>205</v>
      </c>
      <c r="I100" s="8">
        <f ca="1">(TODAY()-Append1[[#This Row],[Date joined]])/365</f>
        <v>2.3232876712328765</v>
      </c>
      <c r="J100" s="4">
        <f ca="1">ROUND(IF(Append1[[#This Row],[tenure]]&gt;2,3%,2%)*Append1[[#This Row],[Salary]],0)</f>
        <v>2904</v>
      </c>
      <c r="K100" s="5">
        <f>VLOOKUP(Append1[[#This Row],[Rating]],Table7[],2,0)</f>
        <v>3</v>
      </c>
    </row>
    <row r="101" spans="1:11" x14ac:dyDescent="0.3">
      <c r="A101" t="s">
        <v>122</v>
      </c>
      <c r="B101" t="s">
        <v>5</v>
      </c>
      <c r="C101" t="s">
        <v>14</v>
      </c>
      <c r="D101">
        <v>28</v>
      </c>
      <c r="E101" s="3">
        <v>43980</v>
      </c>
      <c r="F101" s="4">
        <v>48170</v>
      </c>
      <c r="G101" t="s">
        <v>7</v>
      </c>
      <c r="H101" t="s">
        <v>205</v>
      </c>
      <c r="I101" s="8">
        <f ca="1">(TODAY()-Append1[[#This Row],[Date joined]])/365</f>
        <v>3.8684931506849316</v>
      </c>
      <c r="J101" s="4">
        <f ca="1">ROUND(IF(Append1[[#This Row],[tenure]]&gt;2,3%,2%)*Append1[[#This Row],[Salary]],0)</f>
        <v>1445</v>
      </c>
      <c r="K101" s="5">
        <f>VLOOKUP(Append1[[#This Row],[Rating]],Table7[],2,0)</f>
        <v>4</v>
      </c>
    </row>
    <row r="102" spans="1:11" x14ac:dyDescent="0.3">
      <c r="A102" t="s">
        <v>123</v>
      </c>
      <c r="B102" t="s">
        <v>5</v>
      </c>
      <c r="C102" t="s">
        <v>9</v>
      </c>
      <c r="D102">
        <v>21</v>
      </c>
      <c r="E102" s="3">
        <v>44042</v>
      </c>
      <c r="F102" s="4">
        <v>37920</v>
      </c>
      <c r="G102" t="s">
        <v>10</v>
      </c>
      <c r="H102" t="s">
        <v>205</v>
      </c>
      <c r="I102" s="8">
        <f ca="1">(TODAY()-Append1[[#This Row],[Date joined]])/365</f>
        <v>3.6986301369863015</v>
      </c>
      <c r="J102" s="4">
        <f ca="1">ROUND(IF(Append1[[#This Row],[tenure]]&gt;2,3%,2%)*Append1[[#This Row],[Salary]],0)</f>
        <v>1138</v>
      </c>
      <c r="K102" s="5">
        <f>VLOOKUP(Append1[[#This Row],[Rating]],Table7[],2,0)</f>
        <v>3</v>
      </c>
    </row>
    <row r="103" spans="1:11" x14ac:dyDescent="0.3">
      <c r="A103" t="s">
        <v>124</v>
      </c>
      <c r="B103" t="s">
        <v>5</v>
      </c>
      <c r="C103" t="s">
        <v>9</v>
      </c>
      <c r="D103">
        <v>34</v>
      </c>
      <c r="E103" s="3">
        <v>44642</v>
      </c>
      <c r="F103" s="4">
        <v>112650</v>
      </c>
      <c r="G103" t="s">
        <v>10</v>
      </c>
      <c r="H103" t="s">
        <v>205</v>
      </c>
      <c r="I103" s="8">
        <f ca="1">(TODAY()-Append1[[#This Row],[Date joined]])/365</f>
        <v>2.0547945205479454</v>
      </c>
      <c r="J103" s="4">
        <f ca="1">ROUND(IF(Append1[[#This Row],[tenure]]&gt;2,3%,2%)*Append1[[#This Row],[Salary]],0)</f>
        <v>3380</v>
      </c>
      <c r="K103" s="5">
        <f>VLOOKUP(Append1[[#This Row],[Rating]],Table7[],2,0)</f>
        <v>3</v>
      </c>
    </row>
    <row r="104" spans="1:11" x14ac:dyDescent="0.3">
      <c r="A104" t="s">
        <v>125</v>
      </c>
      <c r="B104" t="s">
        <v>12</v>
      </c>
      <c r="C104" t="s">
        <v>6</v>
      </c>
      <c r="D104">
        <v>34</v>
      </c>
      <c r="E104" s="3">
        <v>44660</v>
      </c>
      <c r="F104" s="4">
        <v>49630</v>
      </c>
      <c r="G104" t="s">
        <v>15</v>
      </c>
      <c r="H104" t="s">
        <v>205</v>
      </c>
      <c r="I104" s="8">
        <f ca="1">(TODAY()-Append1[[#This Row],[Date joined]])/365</f>
        <v>2.0054794520547947</v>
      </c>
      <c r="J104" s="4">
        <f ca="1">ROUND(IF(Append1[[#This Row],[tenure]]&gt;2,3%,2%)*Append1[[#This Row],[Salary]],0)</f>
        <v>1489</v>
      </c>
      <c r="K104" s="5">
        <f>VLOOKUP(Append1[[#This Row],[Rating]],Table7[],2,0)</f>
        <v>2</v>
      </c>
    </row>
    <row r="105" spans="1:11" x14ac:dyDescent="0.3">
      <c r="A105" t="s">
        <v>126</v>
      </c>
      <c r="B105" t="s">
        <v>5</v>
      </c>
      <c r="C105" t="s">
        <v>20</v>
      </c>
      <c r="D105">
        <v>36</v>
      </c>
      <c r="E105" s="3">
        <v>43958</v>
      </c>
      <c r="F105" s="4">
        <v>118840</v>
      </c>
      <c r="G105" t="s">
        <v>10</v>
      </c>
      <c r="H105" t="s">
        <v>205</v>
      </c>
      <c r="I105" s="8">
        <f ca="1">(TODAY()-Append1[[#This Row],[Date joined]])/365</f>
        <v>3.9287671232876713</v>
      </c>
      <c r="J105" s="4">
        <f ca="1">ROUND(IF(Append1[[#This Row],[tenure]]&gt;2,3%,2%)*Append1[[#This Row],[Salary]],0)</f>
        <v>3565</v>
      </c>
      <c r="K105" s="5">
        <f>VLOOKUP(Append1[[#This Row],[Rating]],Table7[],2,0)</f>
        <v>3</v>
      </c>
    </row>
    <row r="106" spans="1:11" x14ac:dyDescent="0.3">
      <c r="A106" t="s">
        <v>127</v>
      </c>
      <c r="B106" t="s">
        <v>5</v>
      </c>
      <c r="C106" t="s">
        <v>20</v>
      </c>
      <c r="D106">
        <v>30</v>
      </c>
      <c r="E106" s="3">
        <v>44789</v>
      </c>
      <c r="F106" s="4">
        <v>69710</v>
      </c>
      <c r="G106" t="s">
        <v>10</v>
      </c>
      <c r="H106" t="s">
        <v>205</v>
      </c>
      <c r="I106" s="8">
        <f ca="1">(TODAY()-Append1[[#This Row],[Date joined]])/365</f>
        <v>1.6520547945205479</v>
      </c>
      <c r="J106" s="4">
        <f ca="1">ROUND(IF(Append1[[#This Row],[tenure]]&gt;2,3%,2%)*Append1[[#This Row],[Salary]],0)</f>
        <v>1394</v>
      </c>
      <c r="K106" s="5">
        <f>VLOOKUP(Append1[[#This Row],[Rating]],Table7[],2,0)</f>
        <v>3</v>
      </c>
    </row>
    <row r="107" spans="1:11" x14ac:dyDescent="0.3">
      <c r="A107" t="s">
        <v>128</v>
      </c>
      <c r="B107" t="s">
        <v>5</v>
      </c>
      <c r="C107" t="s">
        <v>9</v>
      </c>
      <c r="D107">
        <v>20</v>
      </c>
      <c r="E107" s="3">
        <v>44683</v>
      </c>
      <c r="F107" s="4">
        <v>79570</v>
      </c>
      <c r="G107" t="s">
        <v>10</v>
      </c>
      <c r="H107" t="s">
        <v>205</v>
      </c>
      <c r="I107" s="8">
        <f ca="1">(TODAY()-Append1[[#This Row],[Date joined]])/365</f>
        <v>1.9424657534246574</v>
      </c>
      <c r="J107" s="4">
        <f ca="1">ROUND(IF(Append1[[#This Row],[tenure]]&gt;2,3%,2%)*Append1[[#This Row],[Salary]],0)</f>
        <v>1591</v>
      </c>
      <c r="K107" s="5">
        <f>VLOOKUP(Append1[[#This Row],[Rating]],Table7[],2,0)</f>
        <v>3</v>
      </c>
    </row>
    <row r="108" spans="1:11" x14ac:dyDescent="0.3">
      <c r="A108" t="s">
        <v>129</v>
      </c>
      <c r="B108" t="s">
        <v>12</v>
      </c>
      <c r="C108" t="s">
        <v>9</v>
      </c>
      <c r="D108">
        <v>22</v>
      </c>
      <c r="E108" s="3">
        <v>44388</v>
      </c>
      <c r="F108" s="4">
        <v>76900</v>
      </c>
      <c r="G108" t="s">
        <v>7</v>
      </c>
      <c r="H108" t="s">
        <v>205</v>
      </c>
      <c r="I108" s="8">
        <f ca="1">(TODAY()-Append1[[#This Row],[Date joined]])/365</f>
        <v>2.7506849315068491</v>
      </c>
      <c r="J108" s="4">
        <f ca="1">ROUND(IF(Append1[[#This Row],[tenure]]&gt;2,3%,2%)*Append1[[#This Row],[Salary]],0)</f>
        <v>2307</v>
      </c>
      <c r="K108" s="5">
        <f>VLOOKUP(Append1[[#This Row],[Rating]],Table7[],2,0)</f>
        <v>4</v>
      </c>
    </row>
    <row r="109" spans="1:11" x14ac:dyDescent="0.3">
      <c r="A109" t="s">
        <v>130</v>
      </c>
      <c r="B109" t="s">
        <v>5</v>
      </c>
      <c r="C109" t="s">
        <v>6</v>
      </c>
      <c r="D109">
        <v>27</v>
      </c>
      <c r="E109" s="3">
        <v>44073</v>
      </c>
      <c r="F109" s="4">
        <v>54970</v>
      </c>
      <c r="G109" t="s">
        <v>10</v>
      </c>
      <c r="H109" t="s">
        <v>205</v>
      </c>
      <c r="I109" s="8">
        <f ca="1">(TODAY()-Append1[[#This Row],[Date joined]])/365</f>
        <v>3.6136986301369864</v>
      </c>
      <c r="J109" s="4">
        <f ca="1">ROUND(IF(Append1[[#This Row],[tenure]]&gt;2,3%,2%)*Append1[[#This Row],[Salary]],0)</f>
        <v>1649</v>
      </c>
      <c r="K109" s="5">
        <f>VLOOKUP(Append1[[#This Row],[Rating]],Table7[],2,0)</f>
        <v>3</v>
      </c>
    </row>
    <row r="110" spans="1:11" x14ac:dyDescent="0.3">
      <c r="A110" t="s">
        <v>131</v>
      </c>
      <c r="B110" t="s">
        <v>5</v>
      </c>
      <c r="C110" t="s">
        <v>20</v>
      </c>
      <c r="D110">
        <v>37</v>
      </c>
      <c r="E110" s="3">
        <v>44277</v>
      </c>
      <c r="F110" s="4">
        <v>88050</v>
      </c>
      <c r="G110" t="s">
        <v>15</v>
      </c>
      <c r="H110" t="s">
        <v>205</v>
      </c>
      <c r="I110" s="8">
        <f ca="1">(TODAY()-Append1[[#This Row],[Date joined]])/365</f>
        <v>3.0547945205479454</v>
      </c>
      <c r="J110" s="4">
        <f ca="1">ROUND(IF(Append1[[#This Row],[tenure]]&gt;2,3%,2%)*Append1[[#This Row],[Salary]],0)</f>
        <v>2642</v>
      </c>
      <c r="K110" s="5">
        <f>VLOOKUP(Append1[[#This Row],[Rating]],Table7[],2,0)</f>
        <v>2</v>
      </c>
    </row>
    <row r="111" spans="1:11" x14ac:dyDescent="0.3">
      <c r="A111" t="s">
        <v>132</v>
      </c>
      <c r="B111" t="s">
        <v>5</v>
      </c>
      <c r="C111" t="s">
        <v>6</v>
      </c>
      <c r="D111">
        <v>43</v>
      </c>
      <c r="E111" s="3">
        <v>44558</v>
      </c>
      <c r="F111" s="4">
        <v>36040</v>
      </c>
      <c r="G111" t="s">
        <v>10</v>
      </c>
      <c r="H111" t="s">
        <v>205</v>
      </c>
      <c r="I111" s="8">
        <f ca="1">(TODAY()-Append1[[#This Row],[Date joined]])/365</f>
        <v>2.2849315068493152</v>
      </c>
      <c r="J111" s="4">
        <f ca="1">ROUND(IF(Append1[[#This Row],[tenure]]&gt;2,3%,2%)*Append1[[#This Row],[Salary]],0)</f>
        <v>1081</v>
      </c>
      <c r="K111" s="5">
        <f>VLOOKUP(Append1[[#This Row],[Rating]],Table7[],2,0)</f>
        <v>3</v>
      </c>
    </row>
    <row r="112" spans="1:11" x14ac:dyDescent="0.3">
      <c r="A112" t="s">
        <v>133</v>
      </c>
      <c r="B112" t="s">
        <v>12</v>
      </c>
      <c r="C112" t="s">
        <v>9</v>
      </c>
      <c r="D112">
        <v>42</v>
      </c>
      <c r="E112" s="3">
        <v>44718</v>
      </c>
      <c r="F112" s="4">
        <v>75000</v>
      </c>
      <c r="G112" t="s">
        <v>40</v>
      </c>
      <c r="H112" t="s">
        <v>205</v>
      </c>
      <c r="I112" s="8">
        <f ca="1">(TODAY()-Append1[[#This Row],[Date joined]])/365</f>
        <v>1.8465753424657534</v>
      </c>
      <c r="J112" s="4">
        <f ca="1">ROUND(IF(Append1[[#This Row],[tenure]]&gt;2,3%,2%)*Append1[[#This Row],[Salary]],0)</f>
        <v>1500</v>
      </c>
      <c r="K112" s="5">
        <f>VLOOKUP(Append1[[#This Row],[Rating]],Table7[],2,0)</f>
        <v>5</v>
      </c>
    </row>
    <row r="113" spans="1:11" x14ac:dyDescent="0.3">
      <c r="A113" t="s">
        <v>134</v>
      </c>
      <c r="B113" t="s">
        <v>5</v>
      </c>
      <c r="C113" t="s">
        <v>9</v>
      </c>
      <c r="D113">
        <v>35</v>
      </c>
      <c r="E113" s="3">
        <v>44666</v>
      </c>
      <c r="F113" s="4">
        <v>40400</v>
      </c>
      <c r="G113" t="s">
        <v>10</v>
      </c>
      <c r="H113" t="s">
        <v>205</v>
      </c>
      <c r="I113" s="8">
        <f ca="1">(TODAY()-Append1[[#This Row],[Date joined]])/365</f>
        <v>1.989041095890411</v>
      </c>
      <c r="J113" s="4">
        <f ca="1">ROUND(IF(Append1[[#This Row],[tenure]]&gt;2,3%,2%)*Append1[[#This Row],[Salary]],0)</f>
        <v>808</v>
      </c>
      <c r="K113" s="5">
        <f>VLOOKUP(Append1[[#This Row],[Rating]],Table7[],2,0)</f>
        <v>3</v>
      </c>
    </row>
    <row r="114" spans="1:11" x14ac:dyDescent="0.3">
      <c r="A114" t="s">
        <v>135</v>
      </c>
      <c r="B114" t="s">
        <v>5</v>
      </c>
      <c r="C114" t="s">
        <v>20</v>
      </c>
      <c r="D114">
        <v>24</v>
      </c>
      <c r="E114" s="3">
        <v>44625</v>
      </c>
      <c r="F114" s="4">
        <v>100420</v>
      </c>
      <c r="G114" t="s">
        <v>10</v>
      </c>
      <c r="H114" t="s">
        <v>205</v>
      </c>
      <c r="I114" s="8">
        <f ca="1">(TODAY()-Append1[[#This Row],[Date joined]])/365</f>
        <v>2.1013698630136988</v>
      </c>
      <c r="J114" s="4">
        <f ca="1">ROUND(IF(Append1[[#This Row],[tenure]]&gt;2,3%,2%)*Append1[[#This Row],[Salary]],0)</f>
        <v>3013</v>
      </c>
      <c r="K114" s="5">
        <f>VLOOKUP(Append1[[#This Row],[Rating]],Table7[],2,0)</f>
        <v>3</v>
      </c>
    </row>
    <row r="115" spans="1:11" x14ac:dyDescent="0.3">
      <c r="A115" t="s">
        <v>136</v>
      </c>
      <c r="B115" t="s">
        <v>12</v>
      </c>
      <c r="C115" t="s">
        <v>20</v>
      </c>
      <c r="D115">
        <v>31</v>
      </c>
      <c r="E115" s="3">
        <v>44604</v>
      </c>
      <c r="F115" s="4">
        <v>58100</v>
      </c>
      <c r="G115" t="s">
        <v>10</v>
      </c>
      <c r="H115" t="s">
        <v>205</v>
      </c>
      <c r="I115" s="8">
        <f ca="1">(TODAY()-Append1[[#This Row],[Date joined]])/365</f>
        <v>2.1589041095890411</v>
      </c>
      <c r="J115" s="4">
        <f ca="1">ROUND(IF(Append1[[#This Row],[tenure]]&gt;2,3%,2%)*Append1[[#This Row],[Salary]],0)</f>
        <v>1743</v>
      </c>
      <c r="K115" s="5">
        <f>VLOOKUP(Append1[[#This Row],[Rating]],Table7[],2,0)</f>
        <v>3</v>
      </c>
    </row>
    <row r="116" spans="1:11" x14ac:dyDescent="0.3">
      <c r="A116" t="s">
        <v>137</v>
      </c>
      <c r="B116" t="s">
        <v>12</v>
      </c>
      <c r="C116" t="s">
        <v>20</v>
      </c>
      <c r="D116">
        <v>44</v>
      </c>
      <c r="E116" s="3">
        <v>44985</v>
      </c>
      <c r="F116" s="4">
        <v>114870</v>
      </c>
      <c r="G116" t="s">
        <v>10</v>
      </c>
      <c r="H116" t="s">
        <v>205</v>
      </c>
      <c r="I116" s="8">
        <f ca="1">(TODAY()-Append1[[#This Row],[Date joined]])/365</f>
        <v>1.1150684931506849</v>
      </c>
      <c r="J116" s="4">
        <f ca="1">ROUND(IF(Append1[[#This Row],[tenure]]&gt;2,3%,2%)*Append1[[#This Row],[Salary]],0)</f>
        <v>2297</v>
      </c>
      <c r="K116" s="5">
        <f>VLOOKUP(Append1[[#This Row],[Rating]],Table7[],2,0)</f>
        <v>3</v>
      </c>
    </row>
    <row r="117" spans="1:11" x14ac:dyDescent="0.3">
      <c r="A117" t="s">
        <v>138</v>
      </c>
      <c r="B117" t="s">
        <v>12</v>
      </c>
      <c r="C117" t="s">
        <v>9</v>
      </c>
      <c r="D117">
        <v>32</v>
      </c>
      <c r="E117" s="3">
        <v>44549</v>
      </c>
      <c r="F117" s="4">
        <v>41570</v>
      </c>
      <c r="G117" t="s">
        <v>10</v>
      </c>
      <c r="H117" t="s">
        <v>205</v>
      </c>
      <c r="I117" s="8">
        <f ca="1">(TODAY()-Append1[[#This Row],[Date joined]])/365</f>
        <v>2.3095890410958906</v>
      </c>
      <c r="J117" s="4">
        <f ca="1">ROUND(IF(Append1[[#This Row],[tenure]]&gt;2,3%,2%)*Append1[[#This Row],[Salary]],0)</f>
        <v>1247</v>
      </c>
      <c r="K117" s="5">
        <f>VLOOKUP(Append1[[#This Row],[Rating]],Table7[],2,0)</f>
        <v>3</v>
      </c>
    </row>
    <row r="118" spans="1:11" x14ac:dyDescent="0.3">
      <c r="A118" t="s">
        <v>139</v>
      </c>
      <c r="B118" t="s">
        <v>12</v>
      </c>
      <c r="C118" t="s">
        <v>9</v>
      </c>
      <c r="D118">
        <v>30</v>
      </c>
      <c r="E118" s="3">
        <v>44800</v>
      </c>
      <c r="F118" s="4">
        <v>112570</v>
      </c>
      <c r="G118" t="s">
        <v>10</v>
      </c>
      <c r="H118" t="s">
        <v>205</v>
      </c>
      <c r="I118" s="8">
        <f ca="1">(TODAY()-Append1[[#This Row],[Date joined]])/365</f>
        <v>1.6219178082191781</v>
      </c>
      <c r="J118" s="4">
        <f ca="1">ROUND(IF(Append1[[#This Row],[tenure]]&gt;2,3%,2%)*Append1[[#This Row],[Salary]],0)</f>
        <v>2251</v>
      </c>
      <c r="K118" s="5">
        <f>VLOOKUP(Append1[[#This Row],[Rating]],Table7[],2,0)</f>
        <v>3</v>
      </c>
    </row>
    <row r="119" spans="1:11" x14ac:dyDescent="0.3">
      <c r="A119" t="s">
        <v>140</v>
      </c>
      <c r="B119" t="s">
        <v>5</v>
      </c>
      <c r="C119" t="s">
        <v>9</v>
      </c>
      <c r="D119">
        <v>26</v>
      </c>
      <c r="E119" s="3">
        <v>44164</v>
      </c>
      <c r="F119" s="4">
        <v>47360</v>
      </c>
      <c r="G119" t="s">
        <v>10</v>
      </c>
      <c r="H119" t="s">
        <v>205</v>
      </c>
      <c r="I119" s="8">
        <f ca="1">(TODAY()-Append1[[#This Row],[Date joined]])/365</f>
        <v>3.3643835616438356</v>
      </c>
      <c r="J119" s="4">
        <f ca="1">ROUND(IF(Append1[[#This Row],[tenure]]&gt;2,3%,2%)*Append1[[#This Row],[Salary]],0)</f>
        <v>1421</v>
      </c>
      <c r="K119" s="5">
        <f>VLOOKUP(Append1[[#This Row],[Rating]],Table7[],2,0)</f>
        <v>3</v>
      </c>
    </row>
    <row r="120" spans="1:11" x14ac:dyDescent="0.3">
      <c r="A120" t="s">
        <v>141</v>
      </c>
      <c r="B120" t="s">
        <v>12</v>
      </c>
      <c r="C120" t="s">
        <v>14</v>
      </c>
      <c r="D120">
        <v>21</v>
      </c>
      <c r="E120" s="3">
        <v>44256</v>
      </c>
      <c r="F120" s="4">
        <v>65920</v>
      </c>
      <c r="G120" t="s">
        <v>10</v>
      </c>
      <c r="H120" t="s">
        <v>205</v>
      </c>
      <c r="I120" s="8">
        <f ca="1">(TODAY()-Append1[[#This Row],[Date joined]])/365</f>
        <v>3.1123287671232878</v>
      </c>
      <c r="J120" s="4">
        <f ca="1">ROUND(IF(Append1[[#This Row],[tenure]]&gt;2,3%,2%)*Append1[[#This Row],[Salary]],0)</f>
        <v>1978</v>
      </c>
      <c r="K120" s="5">
        <f>VLOOKUP(Append1[[#This Row],[Rating]],Table7[],2,0)</f>
        <v>3</v>
      </c>
    </row>
    <row r="121" spans="1:11" x14ac:dyDescent="0.3">
      <c r="A121" t="s">
        <v>142</v>
      </c>
      <c r="B121" t="s">
        <v>12</v>
      </c>
      <c r="C121" t="s">
        <v>9</v>
      </c>
      <c r="D121">
        <v>28</v>
      </c>
      <c r="E121" s="3">
        <v>44571</v>
      </c>
      <c r="F121" s="4">
        <v>99970</v>
      </c>
      <c r="G121" t="s">
        <v>10</v>
      </c>
      <c r="H121" t="s">
        <v>205</v>
      </c>
      <c r="I121" s="8">
        <f ca="1">(TODAY()-Append1[[#This Row],[Date joined]])/365</f>
        <v>2.2493150684931509</v>
      </c>
      <c r="J121" s="4">
        <f ca="1">ROUND(IF(Append1[[#This Row],[tenure]]&gt;2,3%,2%)*Append1[[#This Row],[Salary]],0)</f>
        <v>2999</v>
      </c>
      <c r="K121" s="5">
        <f>VLOOKUP(Append1[[#This Row],[Rating]],Table7[],2,0)</f>
        <v>3</v>
      </c>
    </row>
    <row r="122" spans="1:11" x14ac:dyDescent="0.3">
      <c r="A122" t="s">
        <v>143</v>
      </c>
      <c r="B122" t="s">
        <v>12</v>
      </c>
      <c r="C122" t="s">
        <v>20</v>
      </c>
      <c r="D122">
        <v>25</v>
      </c>
      <c r="E122" s="3">
        <v>44633</v>
      </c>
      <c r="F122" s="4">
        <v>80700</v>
      </c>
      <c r="G122" t="s">
        <v>7</v>
      </c>
      <c r="H122" t="s">
        <v>205</v>
      </c>
      <c r="I122" s="8">
        <f ca="1">(TODAY()-Append1[[#This Row],[Date joined]])/365</f>
        <v>2.0794520547945203</v>
      </c>
      <c r="J122" s="4">
        <f ca="1">ROUND(IF(Append1[[#This Row],[tenure]]&gt;2,3%,2%)*Append1[[#This Row],[Salary]],0)</f>
        <v>2421</v>
      </c>
      <c r="K122" s="5">
        <f>VLOOKUP(Append1[[#This Row],[Rating]],Table7[],2,0)</f>
        <v>4</v>
      </c>
    </row>
    <row r="123" spans="1:11" x14ac:dyDescent="0.3">
      <c r="A123" t="s">
        <v>144</v>
      </c>
      <c r="B123" t="s">
        <v>5</v>
      </c>
      <c r="C123" t="s">
        <v>14</v>
      </c>
      <c r="D123">
        <v>24</v>
      </c>
      <c r="E123" s="3">
        <v>44375</v>
      </c>
      <c r="F123" s="4">
        <v>52610</v>
      </c>
      <c r="G123" t="s">
        <v>15</v>
      </c>
      <c r="H123" t="s">
        <v>205</v>
      </c>
      <c r="I123" s="8">
        <f ca="1">(TODAY()-Append1[[#This Row],[Date joined]])/365</f>
        <v>2.7863013698630139</v>
      </c>
      <c r="J123" s="4">
        <f ca="1">ROUND(IF(Append1[[#This Row],[tenure]]&gt;2,3%,2%)*Append1[[#This Row],[Salary]],0)</f>
        <v>1578</v>
      </c>
      <c r="K123" s="5">
        <f>VLOOKUP(Append1[[#This Row],[Rating]],Table7[],2,0)</f>
        <v>2</v>
      </c>
    </row>
    <row r="124" spans="1:11" x14ac:dyDescent="0.3">
      <c r="A124" t="s">
        <v>145</v>
      </c>
      <c r="B124" t="s">
        <v>5</v>
      </c>
      <c r="C124" t="s">
        <v>20</v>
      </c>
      <c r="D124">
        <v>29</v>
      </c>
      <c r="E124" s="3">
        <v>44119</v>
      </c>
      <c r="F124" s="4">
        <v>112110</v>
      </c>
      <c r="G124" t="s">
        <v>15</v>
      </c>
      <c r="H124" t="s">
        <v>205</v>
      </c>
      <c r="I124" s="8">
        <f ca="1">(TODAY()-Append1[[#This Row],[Date joined]])/365</f>
        <v>3.4876712328767123</v>
      </c>
      <c r="J124" s="4">
        <f ca="1">ROUND(IF(Append1[[#This Row],[tenure]]&gt;2,3%,2%)*Append1[[#This Row],[Salary]],0)</f>
        <v>3363</v>
      </c>
      <c r="K124" s="5">
        <f>VLOOKUP(Append1[[#This Row],[Rating]],Table7[],2,0)</f>
        <v>2</v>
      </c>
    </row>
    <row r="125" spans="1:11" x14ac:dyDescent="0.3">
      <c r="A125" t="s">
        <v>146</v>
      </c>
      <c r="B125" t="s">
        <v>12</v>
      </c>
      <c r="C125" t="s">
        <v>23</v>
      </c>
      <c r="D125">
        <v>27</v>
      </c>
      <c r="E125" s="3">
        <v>44061</v>
      </c>
      <c r="F125" s="4">
        <v>119110</v>
      </c>
      <c r="G125" t="s">
        <v>10</v>
      </c>
      <c r="H125" t="s">
        <v>205</v>
      </c>
      <c r="I125" s="8">
        <f ca="1">(TODAY()-Append1[[#This Row],[Date joined]])/365</f>
        <v>3.6465753424657534</v>
      </c>
      <c r="J125" s="4">
        <f ca="1">ROUND(IF(Append1[[#This Row],[tenure]]&gt;2,3%,2%)*Append1[[#This Row],[Salary]],0)</f>
        <v>3573</v>
      </c>
      <c r="K125" s="5">
        <f>VLOOKUP(Append1[[#This Row],[Rating]],Table7[],2,0)</f>
        <v>3</v>
      </c>
    </row>
    <row r="126" spans="1:11" x14ac:dyDescent="0.3">
      <c r="A126" t="s">
        <v>147</v>
      </c>
      <c r="B126" t="s">
        <v>5</v>
      </c>
      <c r="C126" t="s">
        <v>6</v>
      </c>
      <c r="D126">
        <v>22</v>
      </c>
      <c r="E126" s="3">
        <v>44384</v>
      </c>
      <c r="F126" s="4">
        <v>112780</v>
      </c>
      <c r="G126" t="s">
        <v>7</v>
      </c>
      <c r="H126" t="s">
        <v>205</v>
      </c>
      <c r="I126" s="8">
        <f ca="1">(TODAY()-Append1[[#This Row],[Date joined]])/365</f>
        <v>2.7616438356164386</v>
      </c>
      <c r="J126" s="4">
        <f ca="1">ROUND(IF(Append1[[#This Row],[tenure]]&gt;2,3%,2%)*Append1[[#This Row],[Salary]],0)</f>
        <v>3383</v>
      </c>
      <c r="K126" s="5">
        <f>VLOOKUP(Append1[[#This Row],[Rating]],Table7[],2,0)</f>
        <v>4</v>
      </c>
    </row>
    <row r="127" spans="1:11" x14ac:dyDescent="0.3">
      <c r="A127" t="s">
        <v>148</v>
      </c>
      <c r="B127" t="s">
        <v>12</v>
      </c>
      <c r="C127" t="s">
        <v>9</v>
      </c>
      <c r="D127">
        <v>36</v>
      </c>
      <c r="E127" s="3">
        <v>44023</v>
      </c>
      <c r="F127" s="4">
        <v>114890</v>
      </c>
      <c r="G127" t="s">
        <v>10</v>
      </c>
      <c r="H127" t="s">
        <v>205</v>
      </c>
      <c r="I127" s="8">
        <f ca="1">(TODAY()-Append1[[#This Row],[Date joined]])/365</f>
        <v>3.7506849315068491</v>
      </c>
      <c r="J127" s="4">
        <f ca="1">ROUND(IF(Append1[[#This Row],[tenure]]&gt;2,3%,2%)*Append1[[#This Row],[Salary]],0)</f>
        <v>3447</v>
      </c>
      <c r="K127" s="5">
        <f>VLOOKUP(Append1[[#This Row],[Rating]],Table7[],2,0)</f>
        <v>3</v>
      </c>
    </row>
    <row r="128" spans="1:11" x14ac:dyDescent="0.3">
      <c r="A128" t="s">
        <v>149</v>
      </c>
      <c r="B128" t="s">
        <v>5</v>
      </c>
      <c r="C128" t="s">
        <v>14</v>
      </c>
      <c r="D128">
        <v>27</v>
      </c>
      <c r="E128" s="3">
        <v>44506</v>
      </c>
      <c r="F128" s="4">
        <v>48980</v>
      </c>
      <c r="G128" t="s">
        <v>10</v>
      </c>
      <c r="H128" t="s">
        <v>205</v>
      </c>
      <c r="I128" s="8">
        <f ca="1">(TODAY()-Append1[[#This Row],[Date joined]])/365</f>
        <v>2.4273972602739726</v>
      </c>
      <c r="J128" s="4">
        <f ca="1">ROUND(IF(Append1[[#This Row],[tenure]]&gt;2,3%,2%)*Append1[[#This Row],[Salary]],0)</f>
        <v>1469</v>
      </c>
      <c r="K128" s="5">
        <f>VLOOKUP(Append1[[#This Row],[Rating]],Table7[],2,0)</f>
        <v>3</v>
      </c>
    </row>
    <row r="129" spans="1:11" x14ac:dyDescent="0.3">
      <c r="A129" t="s">
        <v>150</v>
      </c>
      <c r="B129" t="s">
        <v>5</v>
      </c>
      <c r="C129" t="s">
        <v>23</v>
      </c>
      <c r="D129">
        <v>21</v>
      </c>
      <c r="E129" s="3">
        <v>44180</v>
      </c>
      <c r="F129" s="4">
        <v>75880</v>
      </c>
      <c r="G129" t="s">
        <v>10</v>
      </c>
      <c r="H129" t="s">
        <v>205</v>
      </c>
      <c r="I129" s="8">
        <f ca="1">(TODAY()-Append1[[#This Row],[Date joined]])/365</f>
        <v>3.3205479452054796</v>
      </c>
      <c r="J129" s="4">
        <f ca="1">ROUND(IF(Append1[[#This Row],[tenure]]&gt;2,3%,2%)*Append1[[#This Row],[Salary]],0)</f>
        <v>2276</v>
      </c>
      <c r="K129" s="5">
        <f>VLOOKUP(Append1[[#This Row],[Rating]],Table7[],2,0)</f>
        <v>3</v>
      </c>
    </row>
    <row r="130" spans="1:11" x14ac:dyDescent="0.3">
      <c r="A130" t="s">
        <v>151</v>
      </c>
      <c r="B130" t="s">
        <v>12</v>
      </c>
      <c r="C130" t="s">
        <v>6</v>
      </c>
      <c r="D130">
        <v>28</v>
      </c>
      <c r="E130" s="3">
        <v>44296</v>
      </c>
      <c r="F130" s="4">
        <v>53240</v>
      </c>
      <c r="G130" t="s">
        <v>10</v>
      </c>
      <c r="H130" t="s">
        <v>205</v>
      </c>
      <c r="I130" s="8">
        <f ca="1">(TODAY()-Append1[[#This Row],[Date joined]])/365</f>
        <v>3.0027397260273974</v>
      </c>
      <c r="J130" s="4">
        <f ca="1">ROUND(IF(Append1[[#This Row],[tenure]]&gt;2,3%,2%)*Append1[[#This Row],[Salary]],0)</f>
        <v>1597</v>
      </c>
      <c r="K130" s="5">
        <f>VLOOKUP(Append1[[#This Row],[Rating]],Table7[],2,0)</f>
        <v>3</v>
      </c>
    </row>
    <row r="131" spans="1:11" x14ac:dyDescent="0.3">
      <c r="A131" t="s">
        <v>152</v>
      </c>
      <c r="B131" t="s">
        <v>12</v>
      </c>
      <c r="C131" t="s">
        <v>14</v>
      </c>
      <c r="D131">
        <v>34</v>
      </c>
      <c r="E131" s="3">
        <v>44397</v>
      </c>
      <c r="F131" s="4">
        <v>85000</v>
      </c>
      <c r="G131" t="s">
        <v>10</v>
      </c>
      <c r="H131" t="s">
        <v>205</v>
      </c>
      <c r="I131" s="8">
        <f ca="1">(TODAY()-Append1[[#This Row],[Date joined]])/365</f>
        <v>2.7260273972602738</v>
      </c>
      <c r="J131" s="4">
        <f ca="1">ROUND(IF(Append1[[#This Row],[tenure]]&gt;2,3%,2%)*Append1[[#This Row],[Salary]],0)</f>
        <v>2550</v>
      </c>
      <c r="K131" s="5">
        <f>VLOOKUP(Append1[[#This Row],[Rating]],Table7[],2,0)</f>
        <v>3</v>
      </c>
    </row>
    <row r="132" spans="1:11" x14ac:dyDescent="0.3">
      <c r="A132" t="s">
        <v>153</v>
      </c>
      <c r="B132" t="s">
        <v>12</v>
      </c>
      <c r="C132" t="s">
        <v>20</v>
      </c>
      <c r="D132">
        <v>21</v>
      </c>
      <c r="E132" s="3">
        <v>44619</v>
      </c>
      <c r="F132" s="4">
        <v>33920</v>
      </c>
      <c r="G132" t="s">
        <v>10</v>
      </c>
      <c r="H132" t="s">
        <v>205</v>
      </c>
      <c r="I132" s="8">
        <f ca="1">(TODAY()-Append1[[#This Row],[Date joined]])/365</f>
        <v>2.117808219178082</v>
      </c>
      <c r="J132" s="4">
        <f ca="1">ROUND(IF(Append1[[#This Row],[tenure]]&gt;2,3%,2%)*Append1[[#This Row],[Salary]],0)</f>
        <v>1018</v>
      </c>
      <c r="K132" s="5">
        <f>VLOOKUP(Append1[[#This Row],[Rating]],Table7[],2,0)</f>
        <v>3</v>
      </c>
    </row>
    <row r="133" spans="1:11" x14ac:dyDescent="0.3">
      <c r="A133" t="s">
        <v>154</v>
      </c>
      <c r="B133" t="s">
        <v>12</v>
      </c>
      <c r="C133" t="s">
        <v>20</v>
      </c>
      <c r="D133">
        <v>33</v>
      </c>
      <c r="E133" s="3">
        <v>44253</v>
      </c>
      <c r="F133" s="4">
        <v>75280</v>
      </c>
      <c r="G133" t="s">
        <v>10</v>
      </c>
      <c r="H133" t="s">
        <v>205</v>
      </c>
      <c r="I133" s="8">
        <f ca="1">(TODAY()-Append1[[#This Row],[Date joined]])/365</f>
        <v>3.1205479452054794</v>
      </c>
      <c r="J133" s="4">
        <f ca="1">ROUND(IF(Append1[[#This Row],[tenure]]&gt;2,3%,2%)*Append1[[#This Row],[Salary]],0)</f>
        <v>2258</v>
      </c>
      <c r="K133" s="5">
        <f>VLOOKUP(Append1[[#This Row],[Rating]],Table7[],2,0)</f>
        <v>3</v>
      </c>
    </row>
    <row r="134" spans="1:11" x14ac:dyDescent="0.3">
      <c r="A134" t="s">
        <v>155</v>
      </c>
      <c r="B134" t="s">
        <v>12</v>
      </c>
      <c r="C134" t="s">
        <v>14</v>
      </c>
      <c r="D134">
        <v>34</v>
      </c>
      <c r="E134" s="3">
        <v>44594</v>
      </c>
      <c r="F134" s="4">
        <v>58940</v>
      </c>
      <c r="G134" t="s">
        <v>10</v>
      </c>
      <c r="H134" t="s">
        <v>205</v>
      </c>
      <c r="I134" s="8">
        <f ca="1">(TODAY()-Append1[[#This Row],[Date joined]])/365</f>
        <v>2.1863013698630138</v>
      </c>
      <c r="J134" s="4">
        <f ca="1">ROUND(IF(Append1[[#This Row],[tenure]]&gt;2,3%,2%)*Append1[[#This Row],[Salary]],0)</f>
        <v>1768</v>
      </c>
      <c r="K134" s="5">
        <f>VLOOKUP(Append1[[#This Row],[Rating]],Table7[],2,0)</f>
        <v>3</v>
      </c>
    </row>
    <row r="135" spans="1:11" x14ac:dyDescent="0.3">
      <c r="A135" t="s">
        <v>156</v>
      </c>
      <c r="B135" t="s">
        <v>12</v>
      </c>
      <c r="C135" t="s">
        <v>9</v>
      </c>
      <c r="D135">
        <v>28</v>
      </c>
      <c r="E135" s="3">
        <v>44425</v>
      </c>
      <c r="F135" s="4">
        <v>104770</v>
      </c>
      <c r="G135" t="s">
        <v>10</v>
      </c>
      <c r="H135" t="s">
        <v>205</v>
      </c>
      <c r="I135" s="8">
        <f ca="1">(TODAY()-Append1[[#This Row],[Date joined]])/365</f>
        <v>2.6493150684931508</v>
      </c>
      <c r="J135" s="4">
        <f ca="1">ROUND(IF(Append1[[#This Row],[tenure]]&gt;2,3%,2%)*Append1[[#This Row],[Salary]],0)</f>
        <v>3143</v>
      </c>
      <c r="K135" s="5">
        <f>VLOOKUP(Append1[[#This Row],[Rating]],Table7[],2,0)</f>
        <v>3</v>
      </c>
    </row>
    <row r="136" spans="1:11" x14ac:dyDescent="0.3">
      <c r="A136" t="s">
        <v>157</v>
      </c>
      <c r="B136" t="s">
        <v>5</v>
      </c>
      <c r="C136" t="s">
        <v>9</v>
      </c>
      <c r="D136">
        <v>21</v>
      </c>
      <c r="E136" s="3">
        <v>44701</v>
      </c>
      <c r="F136" s="4">
        <v>57090</v>
      </c>
      <c r="G136" t="s">
        <v>10</v>
      </c>
      <c r="H136" t="s">
        <v>205</v>
      </c>
      <c r="I136" s="8">
        <f ca="1">(TODAY()-Append1[[#This Row],[Date joined]])/365</f>
        <v>1.893150684931507</v>
      </c>
      <c r="J136" s="4">
        <f ca="1">ROUND(IF(Append1[[#This Row],[tenure]]&gt;2,3%,2%)*Append1[[#This Row],[Salary]],0)</f>
        <v>1142</v>
      </c>
      <c r="K136" s="5">
        <f>VLOOKUP(Append1[[#This Row],[Rating]],Table7[],2,0)</f>
        <v>3</v>
      </c>
    </row>
    <row r="137" spans="1:11" x14ac:dyDescent="0.3">
      <c r="A137" t="s">
        <v>158</v>
      </c>
      <c r="B137" t="s">
        <v>5</v>
      </c>
      <c r="C137" t="s">
        <v>14</v>
      </c>
      <c r="D137">
        <v>27</v>
      </c>
      <c r="E137" s="3">
        <v>44174</v>
      </c>
      <c r="F137" s="4">
        <v>91650</v>
      </c>
      <c r="G137" t="s">
        <v>7</v>
      </c>
      <c r="H137" t="s">
        <v>205</v>
      </c>
      <c r="I137" s="8">
        <f ca="1">(TODAY()-Append1[[#This Row],[Date joined]])/365</f>
        <v>3.3369863013698629</v>
      </c>
      <c r="J137" s="4">
        <f ca="1">ROUND(IF(Append1[[#This Row],[tenure]]&gt;2,3%,2%)*Append1[[#This Row],[Salary]],0)</f>
        <v>2750</v>
      </c>
      <c r="K137" s="5">
        <f>VLOOKUP(Append1[[#This Row],[Rating]],Table7[],2,0)</f>
        <v>4</v>
      </c>
    </row>
    <row r="138" spans="1:11" x14ac:dyDescent="0.3">
      <c r="A138" t="s">
        <v>159</v>
      </c>
      <c r="B138" t="s">
        <v>5</v>
      </c>
      <c r="C138" t="s">
        <v>14</v>
      </c>
      <c r="D138">
        <v>42</v>
      </c>
      <c r="E138" s="3">
        <v>44670</v>
      </c>
      <c r="F138" s="4">
        <v>70270</v>
      </c>
      <c r="G138" t="s">
        <v>15</v>
      </c>
      <c r="H138" t="s">
        <v>205</v>
      </c>
      <c r="I138" s="8">
        <f ca="1">(TODAY()-Append1[[#This Row],[Date joined]])/365</f>
        <v>1.978082191780822</v>
      </c>
      <c r="J138" s="4">
        <f ca="1">ROUND(IF(Append1[[#This Row],[tenure]]&gt;2,3%,2%)*Append1[[#This Row],[Salary]],0)</f>
        <v>1405</v>
      </c>
      <c r="K138" s="5">
        <f>VLOOKUP(Append1[[#This Row],[Rating]],Table7[],2,0)</f>
        <v>2</v>
      </c>
    </row>
    <row r="139" spans="1:11" x14ac:dyDescent="0.3">
      <c r="A139" t="s">
        <v>160</v>
      </c>
      <c r="B139" t="s">
        <v>12</v>
      </c>
      <c r="C139" t="s">
        <v>14</v>
      </c>
      <c r="D139">
        <v>28</v>
      </c>
      <c r="E139" s="3">
        <v>44124</v>
      </c>
      <c r="F139" s="4">
        <v>75970</v>
      </c>
      <c r="G139" t="s">
        <v>10</v>
      </c>
      <c r="H139" t="s">
        <v>205</v>
      </c>
      <c r="I139" s="8">
        <f ca="1">(TODAY()-Append1[[#This Row],[Date joined]])/365</f>
        <v>3.473972602739726</v>
      </c>
      <c r="J139" s="4">
        <f ca="1">ROUND(IF(Append1[[#This Row],[tenure]]&gt;2,3%,2%)*Append1[[#This Row],[Salary]],0)</f>
        <v>2279</v>
      </c>
      <c r="K139" s="5">
        <f>VLOOKUP(Append1[[#This Row],[Rating]],Table7[],2,0)</f>
        <v>3</v>
      </c>
    </row>
    <row r="140" spans="1:11" x14ac:dyDescent="0.3">
      <c r="A140" t="s">
        <v>161</v>
      </c>
      <c r="B140" t="s">
        <v>206</v>
      </c>
      <c r="C140" t="s">
        <v>20</v>
      </c>
      <c r="D140">
        <v>27</v>
      </c>
      <c r="E140" s="3">
        <v>44212</v>
      </c>
      <c r="F140" s="4">
        <v>90700</v>
      </c>
      <c r="G140" t="s">
        <v>7</v>
      </c>
      <c r="H140" t="s">
        <v>205</v>
      </c>
      <c r="I140" s="8">
        <f ca="1">(TODAY()-Append1[[#This Row],[Date joined]])/365</f>
        <v>3.2328767123287672</v>
      </c>
      <c r="J140" s="4">
        <f ca="1">ROUND(IF(Append1[[#This Row],[tenure]]&gt;2,3%,2%)*Append1[[#This Row],[Salary]],0)</f>
        <v>2721</v>
      </c>
      <c r="K140" s="5">
        <f>VLOOKUP(Append1[[#This Row],[Rating]],Table7[],2,0)</f>
        <v>4</v>
      </c>
    </row>
    <row r="141" spans="1:11" x14ac:dyDescent="0.3">
      <c r="A141" t="s">
        <v>162</v>
      </c>
      <c r="B141" t="s">
        <v>5</v>
      </c>
      <c r="C141" t="s">
        <v>9</v>
      </c>
      <c r="D141">
        <v>30</v>
      </c>
      <c r="E141" s="3">
        <v>44607</v>
      </c>
      <c r="F141" s="4">
        <v>60570</v>
      </c>
      <c r="G141" t="s">
        <v>10</v>
      </c>
      <c r="H141" t="s">
        <v>205</v>
      </c>
      <c r="I141" s="8">
        <f ca="1">(TODAY()-Append1[[#This Row],[Date joined]])/365</f>
        <v>2.1506849315068495</v>
      </c>
      <c r="J141" s="4">
        <f ca="1">ROUND(IF(Append1[[#This Row],[tenure]]&gt;2,3%,2%)*Append1[[#This Row],[Salary]],0)</f>
        <v>1817</v>
      </c>
      <c r="K141" s="5">
        <f>VLOOKUP(Append1[[#This Row],[Rating]],Table7[],2,0)</f>
        <v>3</v>
      </c>
    </row>
    <row r="142" spans="1:11" x14ac:dyDescent="0.3">
      <c r="A142" t="s">
        <v>163</v>
      </c>
      <c r="B142" t="s">
        <v>5</v>
      </c>
      <c r="C142" t="s">
        <v>9</v>
      </c>
      <c r="D142">
        <v>33</v>
      </c>
      <c r="E142" s="3">
        <v>44103</v>
      </c>
      <c r="F142" s="4">
        <v>115920</v>
      </c>
      <c r="G142" t="s">
        <v>10</v>
      </c>
      <c r="H142" t="s">
        <v>205</v>
      </c>
      <c r="I142" s="8">
        <f ca="1">(TODAY()-Append1[[#This Row],[Date joined]])/365</f>
        <v>3.5315068493150683</v>
      </c>
      <c r="J142" s="4">
        <f ca="1">ROUND(IF(Append1[[#This Row],[tenure]]&gt;2,3%,2%)*Append1[[#This Row],[Salary]],0)</f>
        <v>3478</v>
      </c>
      <c r="K142" s="5">
        <f>VLOOKUP(Append1[[#This Row],[Rating]],Table7[],2,0)</f>
        <v>3</v>
      </c>
    </row>
    <row r="143" spans="1:11" x14ac:dyDescent="0.3">
      <c r="A143" t="s">
        <v>164</v>
      </c>
      <c r="B143" t="s">
        <v>12</v>
      </c>
      <c r="C143" t="s">
        <v>14</v>
      </c>
      <c r="D143">
        <v>33</v>
      </c>
      <c r="E143" s="3">
        <v>44006</v>
      </c>
      <c r="F143" s="4">
        <v>65360</v>
      </c>
      <c r="G143" t="s">
        <v>10</v>
      </c>
      <c r="H143" t="s">
        <v>205</v>
      </c>
      <c r="I143" s="8">
        <f ca="1">(TODAY()-Append1[[#This Row],[Date joined]])/365</f>
        <v>3.7972602739726029</v>
      </c>
      <c r="J143" s="4">
        <f ca="1">ROUND(IF(Append1[[#This Row],[tenure]]&gt;2,3%,2%)*Append1[[#This Row],[Salary]],0)</f>
        <v>1961</v>
      </c>
      <c r="K143" s="5">
        <f>VLOOKUP(Append1[[#This Row],[Rating]],Table7[],2,0)</f>
        <v>3</v>
      </c>
    </row>
    <row r="144" spans="1:11" x14ac:dyDescent="0.3">
      <c r="A144" t="s">
        <v>165</v>
      </c>
      <c r="B144" t="s">
        <v>206</v>
      </c>
      <c r="C144" t="s">
        <v>14</v>
      </c>
      <c r="D144">
        <v>30</v>
      </c>
      <c r="E144" s="3">
        <v>44535</v>
      </c>
      <c r="F144" s="4">
        <v>64000</v>
      </c>
      <c r="G144" t="s">
        <v>10</v>
      </c>
      <c r="H144" t="s">
        <v>205</v>
      </c>
      <c r="I144" s="8">
        <f ca="1">(TODAY()-Append1[[#This Row],[Date joined]])/365</f>
        <v>2.3479452054794518</v>
      </c>
      <c r="J144" s="4">
        <f ca="1">ROUND(IF(Append1[[#This Row],[tenure]]&gt;2,3%,2%)*Append1[[#This Row],[Salary]],0)</f>
        <v>1920</v>
      </c>
      <c r="K144" s="5">
        <f>VLOOKUP(Append1[[#This Row],[Rating]],Table7[],2,0)</f>
        <v>3</v>
      </c>
    </row>
    <row r="145" spans="1:11" x14ac:dyDescent="0.3">
      <c r="A145" t="s">
        <v>166</v>
      </c>
      <c r="B145" t="s">
        <v>12</v>
      </c>
      <c r="C145" t="s">
        <v>14</v>
      </c>
      <c r="D145">
        <v>34</v>
      </c>
      <c r="E145" s="3">
        <v>44383</v>
      </c>
      <c r="F145" s="4">
        <v>92450</v>
      </c>
      <c r="G145" t="s">
        <v>10</v>
      </c>
      <c r="H145" t="s">
        <v>205</v>
      </c>
      <c r="I145" s="8">
        <f ca="1">(TODAY()-Append1[[#This Row],[Date joined]])/365</f>
        <v>2.7643835616438355</v>
      </c>
      <c r="J145" s="4">
        <f ca="1">ROUND(IF(Append1[[#This Row],[tenure]]&gt;2,3%,2%)*Append1[[#This Row],[Salary]],0)</f>
        <v>2774</v>
      </c>
      <c r="K145" s="5">
        <f>VLOOKUP(Append1[[#This Row],[Rating]],Table7[],2,0)</f>
        <v>3</v>
      </c>
    </row>
    <row r="146" spans="1:11" x14ac:dyDescent="0.3">
      <c r="A146" t="s">
        <v>167</v>
      </c>
      <c r="B146" t="s">
        <v>5</v>
      </c>
      <c r="C146" t="s">
        <v>20</v>
      </c>
      <c r="D146">
        <v>31</v>
      </c>
      <c r="E146" s="3">
        <v>44450</v>
      </c>
      <c r="F146" s="4">
        <v>48950</v>
      </c>
      <c r="G146" t="s">
        <v>10</v>
      </c>
      <c r="H146" t="s">
        <v>205</v>
      </c>
      <c r="I146" s="8">
        <f ca="1">(TODAY()-Append1[[#This Row],[Date joined]])/365</f>
        <v>2.580821917808219</v>
      </c>
      <c r="J146" s="4">
        <f ca="1">ROUND(IF(Append1[[#This Row],[tenure]]&gt;2,3%,2%)*Append1[[#This Row],[Salary]],0)</f>
        <v>1469</v>
      </c>
      <c r="K146" s="5">
        <f>VLOOKUP(Append1[[#This Row],[Rating]],Table7[],2,0)</f>
        <v>3</v>
      </c>
    </row>
    <row r="147" spans="1:11" x14ac:dyDescent="0.3">
      <c r="A147" t="s">
        <v>168</v>
      </c>
      <c r="B147" t="s">
        <v>12</v>
      </c>
      <c r="C147" t="s">
        <v>20</v>
      </c>
      <c r="D147">
        <v>27</v>
      </c>
      <c r="E147" s="3">
        <v>44625</v>
      </c>
      <c r="F147" s="4">
        <v>83750</v>
      </c>
      <c r="G147" t="s">
        <v>10</v>
      </c>
      <c r="H147" t="s">
        <v>205</v>
      </c>
      <c r="I147" s="8">
        <f ca="1">(TODAY()-Append1[[#This Row],[Date joined]])/365</f>
        <v>2.1013698630136988</v>
      </c>
      <c r="J147" s="4">
        <f ca="1">ROUND(IF(Append1[[#This Row],[tenure]]&gt;2,3%,2%)*Append1[[#This Row],[Salary]],0)</f>
        <v>2513</v>
      </c>
      <c r="K147" s="5">
        <f>VLOOKUP(Append1[[#This Row],[Rating]],Table7[],2,0)</f>
        <v>3</v>
      </c>
    </row>
    <row r="148" spans="1:11" x14ac:dyDescent="0.3">
      <c r="A148" t="s">
        <v>169</v>
      </c>
      <c r="B148" t="s">
        <v>12</v>
      </c>
      <c r="C148" t="s">
        <v>20</v>
      </c>
      <c r="D148">
        <v>40</v>
      </c>
      <c r="E148" s="3">
        <v>44276</v>
      </c>
      <c r="F148" s="4">
        <v>87620</v>
      </c>
      <c r="G148" t="s">
        <v>10</v>
      </c>
      <c r="H148" t="s">
        <v>205</v>
      </c>
      <c r="I148" s="8">
        <f ca="1">(TODAY()-Append1[[#This Row],[Date joined]])/365</f>
        <v>3.0575342465753423</v>
      </c>
      <c r="J148" s="4">
        <f ca="1">ROUND(IF(Append1[[#This Row],[tenure]]&gt;2,3%,2%)*Append1[[#This Row],[Salary]],0)</f>
        <v>2629</v>
      </c>
      <c r="K148" s="5">
        <f>VLOOKUP(Append1[[#This Row],[Rating]],Table7[],2,0)</f>
        <v>3</v>
      </c>
    </row>
    <row r="149" spans="1:11" x14ac:dyDescent="0.3">
      <c r="A149" t="s">
        <v>170</v>
      </c>
      <c r="B149" t="s">
        <v>12</v>
      </c>
      <c r="C149" t="s">
        <v>6</v>
      </c>
      <c r="D149">
        <v>20</v>
      </c>
      <c r="E149" s="3">
        <v>44476</v>
      </c>
      <c r="F149" s="4">
        <v>68900</v>
      </c>
      <c r="G149" t="s">
        <v>15</v>
      </c>
      <c r="H149" t="s">
        <v>205</v>
      </c>
      <c r="I149" s="8">
        <f ca="1">(TODAY()-Append1[[#This Row],[Date joined]])/365</f>
        <v>2.5095890410958903</v>
      </c>
      <c r="J149" s="4">
        <f ca="1">ROUND(IF(Append1[[#This Row],[tenure]]&gt;2,3%,2%)*Append1[[#This Row],[Salary]],0)</f>
        <v>2067</v>
      </c>
      <c r="K149" s="5">
        <f>VLOOKUP(Append1[[#This Row],[Rating]],Table7[],2,0)</f>
        <v>2</v>
      </c>
    </row>
    <row r="150" spans="1:11" x14ac:dyDescent="0.3">
      <c r="A150" t="s">
        <v>171</v>
      </c>
      <c r="B150" t="s">
        <v>5</v>
      </c>
      <c r="C150" t="s">
        <v>6</v>
      </c>
      <c r="D150">
        <v>32</v>
      </c>
      <c r="E150" s="3">
        <v>44403</v>
      </c>
      <c r="F150" s="4">
        <v>53540</v>
      </c>
      <c r="G150" t="s">
        <v>10</v>
      </c>
      <c r="H150" t="s">
        <v>205</v>
      </c>
      <c r="I150" s="8">
        <f ca="1">(TODAY()-Append1[[#This Row],[Date joined]])/365</f>
        <v>2.7095890410958905</v>
      </c>
      <c r="J150" s="4">
        <f ca="1">ROUND(IF(Append1[[#This Row],[tenure]]&gt;2,3%,2%)*Append1[[#This Row],[Salary]],0)</f>
        <v>1606</v>
      </c>
      <c r="K150" s="5">
        <f>VLOOKUP(Append1[[#This Row],[Rating]],Table7[],2,0)</f>
        <v>3</v>
      </c>
    </row>
    <row r="151" spans="1:11" x14ac:dyDescent="0.3">
      <c r="A151" t="s">
        <v>172</v>
      </c>
      <c r="B151" t="s">
        <v>5</v>
      </c>
      <c r="C151" t="s">
        <v>6</v>
      </c>
      <c r="D151">
        <v>28</v>
      </c>
      <c r="E151" s="3">
        <v>44758</v>
      </c>
      <c r="F151" s="4">
        <v>43510</v>
      </c>
      <c r="G151" t="s">
        <v>46</v>
      </c>
      <c r="H151" t="s">
        <v>205</v>
      </c>
      <c r="I151" s="8">
        <f ca="1">(TODAY()-Append1[[#This Row],[Date joined]])/365</f>
        <v>1.736986301369863</v>
      </c>
      <c r="J151" s="4">
        <f ca="1">ROUND(IF(Append1[[#This Row],[tenure]]&gt;2,3%,2%)*Append1[[#This Row],[Salary]],0)</f>
        <v>870</v>
      </c>
      <c r="K151" s="5">
        <f>VLOOKUP(Append1[[#This Row],[Rating]],Table7[],2,0)</f>
        <v>1</v>
      </c>
    </row>
    <row r="152" spans="1:11" x14ac:dyDescent="0.3">
      <c r="A152" t="s">
        <v>173</v>
      </c>
      <c r="B152" t="s">
        <v>12</v>
      </c>
      <c r="C152" t="s">
        <v>6</v>
      </c>
      <c r="D152">
        <v>38</v>
      </c>
      <c r="E152" s="3">
        <v>44316</v>
      </c>
      <c r="F152" s="4">
        <v>109160</v>
      </c>
      <c r="G152" t="s">
        <v>40</v>
      </c>
      <c r="H152" t="s">
        <v>205</v>
      </c>
      <c r="I152" s="8">
        <f ca="1">(TODAY()-Append1[[#This Row],[Date joined]])/365</f>
        <v>2.9479452054794519</v>
      </c>
      <c r="J152" s="4">
        <f ca="1">ROUND(IF(Append1[[#This Row],[tenure]]&gt;2,3%,2%)*Append1[[#This Row],[Salary]],0)</f>
        <v>3275</v>
      </c>
      <c r="K152" s="5">
        <f>VLOOKUP(Append1[[#This Row],[Rating]],Table7[],2,0)</f>
        <v>5</v>
      </c>
    </row>
    <row r="153" spans="1:11" x14ac:dyDescent="0.3">
      <c r="A153" t="s">
        <v>174</v>
      </c>
      <c r="B153" t="s">
        <v>5</v>
      </c>
      <c r="C153" t="s">
        <v>9</v>
      </c>
      <c r="D153">
        <v>40</v>
      </c>
      <c r="E153" s="3">
        <v>44204</v>
      </c>
      <c r="F153" s="4">
        <v>99750</v>
      </c>
      <c r="G153" t="s">
        <v>10</v>
      </c>
      <c r="H153" t="s">
        <v>205</v>
      </c>
      <c r="I153" s="8">
        <f ca="1">(TODAY()-Append1[[#This Row],[Date joined]])/365</f>
        <v>3.2547945205479452</v>
      </c>
      <c r="J153" s="4">
        <f ca="1">ROUND(IF(Append1[[#This Row],[tenure]]&gt;2,3%,2%)*Append1[[#This Row],[Salary]],0)</f>
        <v>2993</v>
      </c>
      <c r="K153" s="5">
        <f>VLOOKUP(Append1[[#This Row],[Rating]],Table7[],2,0)</f>
        <v>3</v>
      </c>
    </row>
    <row r="154" spans="1:11" x14ac:dyDescent="0.3">
      <c r="A154" t="s">
        <v>175</v>
      </c>
      <c r="B154" t="s">
        <v>12</v>
      </c>
      <c r="C154" t="s">
        <v>20</v>
      </c>
      <c r="D154">
        <v>31</v>
      </c>
      <c r="E154" s="3">
        <v>44084</v>
      </c>
      <c r="F154" s="4">
        <v>41980</v>
      </c>
      <c r="G154" t="s">
        <v>10</v>
      </c>
      <c r="H154" t="s">
        <v>205</v>
      </c>
      <c r="I154" s="8">
        <f ca="1">(TODAY()-Append1[[#This Row],[Date joined]])/365</f>
        <v>3.5835616438356164</v>
      </c>
      <c r="J154" s="4">
        <f ca="1">ROUND(IF(Append1[[#This Row],[tenure]]&gt;2,3%,2%)*Append1[[#This Row],[Salary]],0)</f>
        <v>1259</v>
      </c>
      <c r="K154" s="5">
        <f>VLOOKUP(Append1[[#This Row],[Rating]],Table7[],2,0)</f>
        <v>3</v>
      </c>
    </row>
    <row r="155" spans="1:11" x14ac:dyDescent="0.3">
      <c r="A155" t="s">
        <v>176</v>
      </c>
      <c r="B155" t="s">
        <v>5</v>
      </c>
      <c r="C155" t="s">
        <v>14</v>
      </c>
      <c r="D155">
        <v>36</v>
      </c>
      <c r="E155" s="3">
        <v>44272</v>
      </c>
      <c r="F155" s="4">
        <v>71380</v>
      </c>
      <c r="G155" t="s">
        <v>10</v>
      </c>
      <c r="H155" t="s">
        <v>205</v>
      </c>
      <c r="I155" s="8">
        <f ca="1">(TODAY()-Append1[[#This Row],[Date joined]])/365</f>
        <v>3.0684931506849313</v>
      </c>
      <c r="J155" s="4">
        <f ca="1">ROUND(IF(Append1[[#This Row],[tenure]]&gt;2,3%,2%)*Append1[[#This Row],[Salary]],0)</f>
        <v>2141</v>
      </c>
      <c r="K155" s="5">
        <f>VLOOKUP(Append1[[#This Row],[Rating]],Table7[],2,0)</f>
        <v>3</v>
      </c>
    </row>
    <row r="156" spans="1:11" x14ac:dyDescent="0.3">
      <c r="A156" t="s">
        <v>177</v>
      </c>
      <c r="B156" t="s">
        <v>5</v>
      </c>
      <c r="C156" t="s">
        <v>9</v>
      </c>
      <c r="D156">
        <v>27</v>
      </c>
      <c r="E156" s="3">
        <v>44547</v>
      </c>
      <c r="F156" s="4">
        <v>113280</v>
      </c>
      <c r="G156" t="s">
        <v>46</v>
      </c>
      <c r="H156" t="s">
        <v>205</v>
      </c>
      <c r="I156" s="8">
        <f ca="1">(TODAY()-Append1[[#This Row],[Date joined]])/365</f>
        <v>2.3150684931506849</v>
      </c>
      <c r="J156" s="4">
        <f ca="1">ROUND(IF(Append1[[#This Row],[tenure]]&gt;2,3%,2%)*Append1[[#This Row],[Salary]],0)</f>
        <v>3398</v>
      </c>
      <c r="K156" s="5">
        <f>VLOOKUP(Append1[[#This Row],[Rating]],Table7[],2,0)</f>
        <v>1</v>
      </c>
    </row>
    <row r="157" spans="1:11" x14ac:dyDescent="0.3">
      <c r="A157" t="s">
        <v>178</v>
      </c>
      <c r="B157" t="s">
        <v>12</v>
      </c>
      <c r="C157" t="s">
        <v>14</v>
      </c>
      <c r="D157">
        <v>33</v>
      </c>
      <c r="E157" s="3">
        <v>44747</v>
      </c>
      <c r="F157" s="4">
        <v>86570</v>
      </c>
      <c r="G157" t="s">
        <v>10</v>
      </c>
      <c r="H157" t="s">
        <v>205</v>
      </c>
      <c r="I157" s="8">
        <f ca="1">(TODAY()-Append1[[#This Row],[Date joined]])/365</f>
        <v>1.7671232876712328</v>
      </c>
      <c r="J157" s="4">
        <f ca="1">ROUND(IF(Append1[[#This Row],[tenure]]&gt;2,3%,2%)*Append1[[#This Row],[Salary]],0)</f>
        <v>1731</v>
      </c>
      <c r="K157" s="5">
        <f>VLOOKUP(Append1[[#This Row],[Rating]],Table7[],2,0)</f>
        <v>3</v>
      </c>
    </row>
    <row r="158" spans="1:11" x14ac:dyDescent="0.3">
      <c r="A158" t="s">
        <v>179</v>
      </c>
      <c r="B158" t="s">
        <v>5</v>
      </c>
      <c r="C158" t="s">
        <v>9</v>
      </c>
      <c r="D158">
        <v>26</v>
      </c>
      <c r="E158" s="3">
        <v>44350</v>
      </c>
      <c r="F158" s="4">
        <v>53540</v>
      </c>
      <c r="G158" t="s">
        <v>10</v>
      </c>
      <c r="H158" t="s">
        <v>205</v>
      </c>
      <c r="I158" s="8">
        <f ca="1">(TODAY()-Append1[[#This Row],[Date joined]])/365</f>
        <v>2.8547945205479452</v>
      </c>
      <c r="J158" s="4">
        <f ca="1">ROUND(IF(Append1[[#This Row],[tenure]]&gt;2,3%,2%)*Append1[[#This Row],[Salary]],0)</f>
        <v>1606</v>
      </c>
      <c r="K158" s="5">
        <f>VLOOKUP(Append1[[#This Row],[Rating]],Table7[],2,0)</f>
        <v>3</v>
      </c>
    </row>
    <row r="159" spans="1:11" x14ac:dyDescent="0.3">
      <c r="A159" t="s">
        <v>180</v>
      </c>
      <c r="B159" t="s">
        <v>5</v>
      </c>
      <c r="C159" t="s">
        <v>20</v>
      </c>
      <c r="D159">
        <v>37</v>
      </c>
      <c r="E159" s="3">
        <v>44640</v>
      </c>
      <c r="F159" s="4">
        <v>69070</v>
      </c>
      <c r="G159" t="s">
        <v>10</v>
      </c>
      <c r="H159" t="s">
        <v>205</v>
      </c>
      <c r="I159" s="8">
        <f ca="1">(TODAY()-Append1[[#This Row],[Date joined]])/365</f>
        <v>2.0602739726027397</v>
      </c>
      <c r="J159" s="4">
        <f ca="1">ROUND(IF(Append1[[#This Row],[tenure]]&gt;2,3%,2%)*Append1[[#This Row],[Salary]],0)</f>
        <v>2072</v>
      </c>
      <c r="K159" s="5">
        <f>VLOOKUP(Append1[[#This Row],[Rating]],Table7[],2,0)</f>
        <v>3</v>
      </c>
    </row>
    <row r="160" spans="1:11" x14ac:dyDescent="0.3">
      <c r="A160" t="s">
        <v>181</v>
      </c>
      <c r="B160" t="s">
        <v>12</v>
      </c>
      <c r="C160" t="s">
        <v>14</v>
      </c>
      <c r="D160">
        <v>30</v>
      </c>
      <c r="E160" s="3">
        <v>44328</v>
      </c>
      <c r="F160" s="4">
        <v>67910</v>
      </c>
      <c r="G160" t="s">
        <v>15</v>
      </c>
      <c r="H160" t="s">
        <v>205</v>
      </c>
      <c r="I160" s="8">
        <f ca="1">(TODAY()-Append1[[#This Row],[Date joined]])/365</f>
        <v>2.9150684931506849</v>
      </c>
      <c r="J160" s="4">
        <f ca="1">ROUND(IF(Append1[[#This Row],[tenure]]&gt;2,3%,2%)*Append1[[#This Row],[Salary]],0)</f>
        <v>2037</v>
      </c>
      <c r="K160" s="5">
        <f>VLOOKUP(Append1[[#This Row],[Rating]],Table7[],2,0)</f>
        <v>2</v>
      </c>
    </row>
    <row r="161" spans="1:11" x14ac:dyDescent="0.3">
      <c r="A161" t="s">
        <v>182</v>
      </c>
      <c r="B161" t="s">
        <v>5</v>
      </c>
      <c r="C161" t="s">
        <v>20</v>
      </c>
      <c r="D161">
        <v>30</v>
      </c>
      <c r="E161" s="3">
        <v>44214</v>
      </c>
      <c r="F161" s="4">
        <v>69120</v>
      </c>
      <c r="G161" t="s">
        <v>10</v>
      </c>
      <c r="H161" t="s">
        <v>205</v>
      </c>
      <c r="I161" s="8">
        <f ca="1">(TODAY()-Append1[[#This Row],[Date joined]])/365</f>
        <v>3.2273972602739724</v>
      </c>
      <c r="J161" s="4">
        <f ca="1">ROUND(IF(Append1[[#This Row],[tenure]]&gt;2,3%,2%)*Append1[[#This Row],[Salary]],0)</f>
        <v>2074</v>
      </c>
      <c r="K161" s="5">
        <f>VLOOKUP(Append1[[#This Row],[Rating]],Table7[],2,0)</f>
        <v>3</v>
      </c>
    </row>
    <row r="162" spans="1:11" x14ac:dyDescent="0.3">
      <c r="A162" t="s">
        <v>183</v>
      </c>
      <c r="B162" t="s">
        <v>12</v>
      </c>
      <c r="C162" t="s">
        <v>14</v>
      </c>
      <c r="D162">
        <v>34</v>
      </c>
      <c r="E162" s="3">
        <v>44550</v>
      </c>
      <c r="F162" s="4">
        <v>60130</v>
      </c>
      <c r="G162" t="s">
        <v>10</v>
      </c>
      <c r="H162" t="s">
        <v>205</v>
      </c>
      <c r="I162" s="8">
        <f ca="1">(TODAY()-Append1[[#This Row],[Date joined]])/365</f>
        <v>2.3068493150684932</v>
      </c>
      <c r="J162" s="4">
        <f ca="1">ROUND(IF(Append1[[#This Row],[tenure]]&gt;2,3%,2%)*Append1[[#This Row],[Salary]],0)</f>
        <v>1804</v>
      </c>
      <c r="K162" s="5">
        <f>VLOOKUP(Append1[[#This Row],[Rating]],Table7[],2,0)</f>
        <v>3</v>
      </c>
    </row>
    <row r="163" spans="1:11" x14ac:dyDescent="0.3">
      <c r="A163" t="s">
        <v>184</v>
      </c>
      <c r="B163" t="s">
        <v>5</v>
      </c>
      <c r="C163" t="s">
        <v>9</v>
      </c>
      <c r="D163">
        <v>23</v>
      </c>
      <c r="E163" s="3">
        <v>44378</v>
      </c>
      <c r="F163" s="4">
        <v>106460</v>
      </c>
      <c r="G163" t="s">
        <v>10</v>
      </c>
      <c r="H163" t="s">
        <v>205</v>
      </c>
      <c r="I163" s="8">
        <f ca="1">(TODAY()-Append1[[#This Row],[Date joined]])/365</f>
        <v>2.7780821917808218</v>
      </c>
      <c r="J163" s="4">
        <f ca="1">ROUND(IF(Append1[[#This Row],[tenure]]&gt;2,3%,2%)*Append1[[#This Row],[Salary]],0)</f>
        <v>3194</v>
      </c>
      <c r="K163" s="5">
        <f>VLOOKUP(Append1[[#This Row],[Rating]],Table7[],2,0)</f>
        <v>3</v>
      </c>
    </row>
    <row r="164" spans="1:11" x14ac:dyDescent="0.3">
      <c r="A164" t="s">
        <v>185</v>
      </c>
      <c r="B164" t="s">
        <v>12</v>
      </c>
      <c r="C164" t="s">
        <v>23</v>
      </c>
      <c r="D164">
        <v>37</v>
      </c>
      <c r="E164" s="3">
        <v>44389</v>
      </c>
      <c r="F164" s="4">
        <v>118100</v>
      </c>
      <c r="G164" t="s">
        <v>10</v>
      </c>
      <c r="H164" t="s">
        <v>205</v>
      </c>
      <c r="I164" s="8">
        <f ca="1">(TODAY()-Append1[[#This Row],[Date joined]])/365</f>
        <v>2.7479452054794522</v>
      </c>
      <c r="J164" s="4">
        <f ca="1">ROUND(IF(Append1[[#This Row],[tenure]]&gt;2,3%,2%)*Append1[[#This Row],[Salary]],0)</f>
        <v>3543</v>
      </c>
      <c r="K164" s="5">
        <f>VLOOKUP(Append1[[#This Row],[Rating]],Table7[],2,0)</f>
        <v>3</v>
      </c>
    </row>
    <row r="165" spans="1:11" x14ac:dyDescent="0.3">
      <c r="A165" t="s">
        <v>186</v>
      </c>
      <c r="B165" t="s">
        <v>12</v>
      </c>
      <c r="C165" t="s">
        <v>9</v>
      </c>
      <c r="D165">
        <v>36</v>
      </c>
      <c r="E165" s="3">
        <v>44468</v>
      </c>
      <c r="F165" s="4">
        <v>78390</v>
      </c>
      <c r="G165" t="s">
        <v>10</v>
      </c>
      <c r="H165" t="s">
        <v>205</v>
      </c>
      <c r="I165" s="8">
        <f ca="1">(TODAY()-Append1[[#This Row],[Date joined]])/365</f>
        <v>2.5315068493150683</v>
      </c>
      <c r="J165" s="4">
        <f ca="1">ROUND(IF(Append1[[#This Row],[tenure]]&gt;2,3%,2%)*Append1[[#This Row],[Salary]],0)</f>
        <v>2352</v>
      </c>
      <c r="K165" s="5">
        <f>VLOOKUP(Append1[[#This Row],[Rating]],Table7[],2,0)</f>
        <v>3</v>
      </c>
    </row>
    <row r="166" spans="1:11" x14ac:dyDescent="0.3">
      <c r="A166" t="s">
        <v>187</v>
      </c>
      <c r="B166" t="s">
        <v>12</v>
      </c>
      <c r="C166" t="s">
        <v>9</v>
      </c>
      <c r="D166">
        <v>30</v>
      </c>
      <c r="E166" s="3">
        <v>44789</v>
      </c>
      <c r="F166" s="4">
        <v>114180</v>
      </c>
      <c r="G166" t="s">
        <v>10</v>
      </c>
      <c r="H166" t="s">
        <v>205</v>
      </c>
      <c r="I166" s="8">
        <f ca="1">(TODAY()-Append1[[#This Row],[Date joined]])/365</f>
        <v>1.6520547945205479</v>
      </c>
      <c r="J166" s="4">
        <f ca="1">ROUND(IF(Append1[[#This Row],[tenure]]&gt;2,3%,2%)*Append1[[#This Row],[Salary]],0)</f>
        <v>2284</v>
      </c>
      <c r="K166" s="5">
        <f>VLOOKUP(Append1[[#This Row],[Rating]],Table7[],2,0)</f>
        <v>3</v>
      </c>
    </row>
    <row r="167" spans="1:11" x14ac:dyDescent="0.3">
      <c r="A167" t="s">
        <v>188</v>
      </c>
      <c r="B167" t="s">
        <v>12</v>
      </c>
      <c r="C167" t="s">
        <v>9</v>
      </c>
      <c r="D167">
        <v>28</v>
      </c>
      <c r="E167" s="3">
        <v>44590</v>
      </c>
      <c r="F167" s="4">
        <v>104120</v>
      </c>
      <c r="G167" t="s">
        <v>10</v>
      </c>
      <c r="H167" t="s">
        <v>205</v>
      </c>
      <c r="I167" s="8">
        <f ca="1">(TODAY()-Append1[[#This Row],[Date joined]])/365</f>
        <v>2.1972602739726028</v>
      </c>
      <c r="J167" s="4">
        <f ca="1">ROUND(IF(Append1[[#This Row],[tenure]]&gt;2,3%,2%)*Append1[[#This Row],[Salary]],0)</f>
        <v>3124</v>
      </c>
      <c r="K167" s="5">
        <f>VLOOKUP(Append1[[#This Row],[Rating]],Table7[],2,0)</f>
        <v>3</v>
      </c>
    </row>
    <row r="168" spans="1:11" x14ac:dyDescent="0.3">
      <c r="A168" t="s">
        <v>189</v>
      </c>
      <c r="B168" t="s">
        <v>5</v>
      </c>
      <c r="C168" t="s">
        <v>9</v>
      </c>
      <c r="D168">
        <v>30</v>
      </c>
      <c r="E168" s="3">
        <v>44640</v>
      </c>
      <c r="F168" s="4">
        <v>67950</v>
      </c>
      <c r="G168" t="s">
        <v>10</v>
      </c>
      <c r="H168" t="s">
        <v>205</v>
      </c>
      <c r="I168" s="8">
        <f ca="1">(TODAY()-Append1[[#This Row],[Date joined]])/365</f>
        <v>2.0602739726027397</v>
      </c>
      <c r="J168" s="4">
        <f ca="1">ROUND(IF(Append1[[#This Row],[tenure]]&gt;2,3%,2%)*Append1[[#This Row],[Salary]],0)</f>
        <v>2039</v>
      </c>
      <c r="K168" s="5">
        <f>VLOOKUP(Append1[[#This Row],[Rating]],Table7[],2,0)</f>
        <v>3</v>
      </c>
    </row>
    <row r="169" spans="1:11" x14ac:dyDescent="0.3">
      <c r="A169" t="s">
        <v>190</v>
      </c>
      <c r="B169" t="s">
        <v>12</v>
      </c>
      <c r="C169" t="s">
        <v>20</v>
      </c>
      <c r="D169">
        <v>29</v>
      </c>
      <c r="E169" s="3">
        <v>43962</v>
      </c>
      <c r="F169" s="4">
        <v>34980</v>
      </c>
      <c r="G169" t="s">
        <v>10</v>
      </c>
      <c r="H169" t="s">
        <v>205</v>
      </c>
      <c r="I169" s="8">
        <f ca="1">(TODAY()-Append1[[#This Row],[Date joined]])/365</f>
        <v>3.9178082191780823</v>
      </c>
      <c r="J169" s="4">
        <f ca="1">ROUND(IF(Append1[[#This Row],[tenure]]&gt;2,3%,2%)*Append1[[#This Row],[Salary]],0)</f>
        <v>1049</v>
      </c>
      <c r="K169" s="5">
        <f>VLOOKUP(Append1[[#This Row],[Rating]],Table7[],2,0)</f>
        <v>3</v>
      </c>
    </row>
    <row r="170" spans="1:11" x14ac:dyDescent="0.3">
      <c r="A170" t="s">
        <v>191</v>
      </c>
      <c r="B170" t="s">
        <v>12</v>
      </c>
      <c r="C170" t="s">
        <v>20</v>
      </c>
      <c r="D170">
        <v>24</v>
      </c>
      <c r="E170" s="3">
        <v>44087</v>
      </c>
      <c r="F170" s="4">
        <v>62780</v>
      </c>
      <c r="G170" t="s">
        <v>10</v>
      </c>
      <c r="H170" t="s">
        <v>205</v>
      </c>
      <c r="I170" s="8">
        <f ca="1">(TODAY()-Append1[[#This Row],[Date joined]])/365</f>
        <v>3.5753424657534247</v>
      </c>
      <c r="J170" s="4">
        <f ca="1">ROUND(IF(Append1[[#This Row],[tenure]]&gt;2,3%,2%)*Append1[[#This Row],[Salary]],0)</f>
        <v>1883</v>
      </c>
      <c r="K170" s="5">
        <f>VLOOKUP(Append1[[#This Row],[Rating]],Table7[],2,0)</f>
        <v>3</v>
      </c>
    </row>
    <row r="171" spans="1:11" x14ac:dyDescent="0.3">
      <c r="A171" t="s">
        <v>192</v>
      </c>
      <c r="B171" t="s">
        <v>5</v>
      </c>
      <c r="C171" t="s">
        <v>20</v>
      </c>
      <c r="D171">
        <v>20</v>
      </c>
      <c r="E171" s="3">
        <v>44397</v>
      </c>
      <c r="F171" s="4">
        <v>107700</v>
      </c>
      <c r="G171" t="s">
        <v>10</v>
      </c>
      <c r="H171" t="s">
        <v>205</v>
      </c>
      <c r="I171" s="8">
        <f ca="1">(TODAY()-Append1[[#This Row],[Date joined]])/365</f>
        <v>2.7260273972602738</v>
      </c>
      <c r="J171" s="4">
        <f ca="1">ROUND(IF(Append1[[#This Row],[tenure]]&gt;2,3%,2%)*Append1[[#This Row],[Salary]],0)</f>
        <v>3231</v>
      </c>
      <c r="K171" s="5">
        <f>VLOOKUP(Append1[[#This Row],[Rating]],Table7[],2,0)</f>
        <v>3</v>
      </c>
    </row>
    <row r="172" spans="1:11" x14ac:dyDescent="0.3">
      <c r="A172" t="s">
        <v>193</v>
      </c>
      <c r="B172" t="s">
        <v>5</v>
      </c>
      <c r="C172" t="s">
        <v>6</v>
      </c>
      <c r="D172">
        <v>25</v>
      </c>
      <c r="E172" s="3">
        <v>44322</v>
      </c>
      <c r="F172" s="4">
        <v>65700</v>
      </c>
      <c r="G172" t="s">
        <v>10</v>
      </c>
      <c r="H172" t="s">
        <v>205</v>
      </c>
      <c r="I172" s="8">
        <f ca="1">(TODAY()-Append1[[#This Row],[Date joined]])/365</f>
        <v>2.9315068493150687</v>
      </c>
      <c r="J172" s="4">
        <f ca="1">ROUND(IF(Append1[[#This Row],[tenure]]&gt;2,3%,2%)*Append1[[#This Row],[Salary]],0)</f>
        <v>1971</v>
      </c>
      <c r="K172" s="5">
        <f>VLOOKUP(Append1[[#This Row],[Rating]],Table7[],2,0)</f>
        <v>3</v>
      </c>
    </row>
    <row r="173" spans="1:11" x14ac:dyDescent="0.3">
      <c r="A173" t="s">
        <v>194</v>
      </c>
      <c r="B173" t="s">
        <v>12</v>
      </c>
      <c r="C173" t="s">
        <v>20</v>
      </c>
      <c r="D173">
        <v>33</v>
      </c>
      <c r="E173" s="3">
        <v>44313</v>
      </c>
      <c r="F173" s="4">
        <v>75480</v>
      </c>
      <c r="G173" t="s">
        <v>46</v>
      </c>
      <c r="H173" t="s">
        <v>205</v>
      </c>
      <c r="I173" s="8">
        <f ca="1">(TODAY()-Append1[[#This Row],[Date joined]])/365</f>
        <v>2.956164383561644</v>
      </c>
      <c r="J173" s="4">
        <f ca="1">ROUND(IF(Append1[[#This Row],[tenure]]&gt;2,3%,2%)*Append1[[#This Row],[Salary]],0)</f>
        <v>2264</v>
      </c>
      <c r="K173" s="5">
        <f>VLOOKUP(Append1[[#This Row],[Rating]],Table7[],2,0)</f>
        <v>1</v>
      </c>
    </row>
    <row r="174" spans="1:11" x14ac:dyDescent="0.3">
      <c r="A174" t="s">
        <v>195</v>
      </c>
      <c r="B174" t="s">
        <v>5</v>
      </c>
      <c r="C174" t="s">
        <v>20</v>
      </c>
      <c r="D174">
        <v>33</v>
      </c>
      <c r="E174" s="3">
        <v>44448</v>
      </c>
      <c r="F174" s="4">
        <v>53870</v>
      </c>
      <c r="G174" t="s">
        <v>10</v>
      </c>
      <c r="H174" t="s">
        <v>205</v>
      </c>
      <c r="I174" s="8">
        <f ca="1">(TODAY()-Append1[[#This Row],[Date joined]])/365</f>
        <v>2.5863013698630137</v>
      </c>
      <c r="J174" s="4">
        <f ca="1">ROUND(IF(Append1[[#This Row],[tenure]]&gt;2,3%,2%)*Append1[[#This Row],[Salary]],0)</f>
        <v>1616</v>
      </c>
      <c r="K174" s="5">
        <f>VLOOKUP(Append1[[#This Row],[Rating]],Table7[],2,0)</f>
        <v>3</v>
      </c>
    </row>
    <row r="175" spans="1:11" x14ac:dyDescent="0.3">
      <c r="A175" t="s">
        <v>196</v>
      </c>
      <c r="B175" t="s">
        <v>12</v>
      </c>
      <c r="C175" t="s">
        <v>6</v>
      </c>
      <c r="D175">
        <v>36</v>
      </c>
      <c r="E175" s="3">
        <v>44433</v>
      </c>
      <c r="F175" s="4">
        <v>78540</v>
      </c>
      <c r="G175" t="s">
        <v>10</v>
      </c>
      <c r="H175" t="s">
        <v>205</v>
      </c>
      <c r="I175" s="8">
        <f ca="1">(TODAY()-Append1[[#This Row],[Date joined]])/365</f>
        <v>2.6273972602739728</v>
      </c>
      <c r="J175" s="4">
        <f ca="1">ROUND(IF(Append1[[#This Row],[tenure]]&gt;2,3%,2%)*Append1[[#This Row],[Salary]],0)</f>
        <v>2356</v>
      </c>
      <c r="K175" s="5">
        <f>VLOOKUP(Append1[[#This Row],[Rating]],Table7[],2,0)</f>
        <v>3</v>
      </c>
    </row>
    <row r="176" spans="1:11" x14ac:dyDescent="0.3">
      <c r="A176" t="s">
        <v>197</v>
      </c>
      <c r="B176" t="s">
        <v>5</v>
      </c>
      <c r="C176" t="s">
        <v>9</v>
      </c>
      <c r="D176">
        <v>19</v>
      </c>
      <c r="E176" s="3">
        <v>44218</v>
      </c>
      <c r="F176" s="4">
        <v>58960</v>
      </c>
      <c r="G176" t="s">
        <v>10</v>
      </c>
      <c r="H176" t="s">
        <v>205</v>
      </c>
      <c r="I176" s="8">
        <f ca="1">(TODAY()-Append1[[#This Row],[Date joined]])/365</f>
        <v>3.2164383561643834</v>
      </c>
      <c r="J176" s="4">
        <f ca="1">ROUND(IF(Append1[[#This Row],[tenure]]&gt;2,3%,2%)*Append1[[#This Row],[Salary]],0)</f>
        <v>1769</v>
      </c>
      <c r="K176" s="5">
        <f>VLOOKUP(Append1[[#This Row],[Rating]],Table7[],2,0)</f>
        <v>3</v>
      </c>
    </row>
    <row r="177" spans="1:11" x14ac:dyDescent="0.3">
      <c r="A177" t="s">
        <v>198</v>
      </c>
      <c r="B177" t="s">
        <v>5</v>
      </c>
      <c r="C177" t="s">
        <v>9</v>
      </c>
      <c r="D177">
        <v>46</v>
      </c>
      <c r="E177" s="3">
        <v>44697</v>
      </c>
      <c r="F177" s="4">
        <v>70610</v>
      </c>
      <c r="G177" t="s">
        <v>10</v>
      </c>
      <c r="H177" t="s">
        <v>205</v>
      </c>
      <c r="I177" s="8">
        <f ca="1">(TODAY()-Append1[[#This Row],[Date joined]])/365</f>
        <v>1.904109589041096</v>
      </c>
      <c r="J177" s="4">
        <f ca="1">ROUND(IF(Append1[[#This Row],[tenure]]&gt;2,3%,2%)*Append1[[#This Row],[Salary]],0)</f>
        <v>1412</v>
      </c>
      <c r="K177" s="5">
        <f>VLOOKUP(Append1[[#This Row],[Rating]],Table7[],2,0)</f>
        <v>3</v>
      </c>
    </row>
    <row r="178" spans="1:11" x14ac:dyDescent="0.3">
      <c r="A178" t="s">
        <v>199</v>
      </c>
      <c r="B178" t="s">
        <v>5</v>
      </c>
      <c r="C178" t="s">
        <v>14</v>
      </c>
      <c r="D178">
        <v>33</v>
      </c>
      <c r="E178" s="3">
        <v>44181</v>
      </c>
      <c r="F178" s="4">
        <v>59430</v>
      </c>
      <c r="G178" t="s">
        <v>10</v>
      </c>
      <c r="H178" t="s">
        <v>205</v>
      </c>
      <c r="I178" s="8">
        <f ca="1">(TODAY()-Append1[[#This Row],[Date joined]])/365</f>
        <v>3.3178082191780822</v>
      </c>
      <c r="J178" s="4">
        <f ca="1">ROUND(IF(Append1[[#This Row],[tenure]]&gt;2,3%,2%)*Append1[[#This Row],[Salary]],0)</f>
        <v>1783</v>
      </c>
      <c r="K178" s="5">
        <f>VLOOKUP(Append1[[#This Row],[Rating]],Table7[],2,0)</f>
        <v>3</v>
      </c>
    </row>
    <row r="179" spans="1:11" x14ac:dyDescent="0.3">
      <c r="A179" t="s">
        <v>200</v>
      </c>
      <c r="B179" t="s">
        <v>5</v>
      </c>
      <c r="C179" t="s">
        <v>9</v>
      </c>
      <c r="D179">
        <v>33</v>
      </c>
      <c r="E179" s="3">
        <v>44640</v>
      </c>
      <c r="F179" s="4">
        <v>48530</v>
      </c>
      <c r="G179" t="s">
        <v>7</v>
      </c>
      <c r="H179" t="s">
        <v>205</v>
      </c>
      <c r="I179" s="8">
        <f ca="1">(TODAY()-Append1[[#This Row],[Date joined]])/365</f>
        <v>2.0602739726027397</v>
      </c>
      <c r="J179" s="4">
        <f ca="1">ROUND(IF(Append1[[#This Row],[tenure]]&gt;2,3%,2%)*Append1[[#This Row],[Salary]],0)</f>
        <v>1456</v>
      </c>
      <c r="K179" s="5">
        <f>VLOOKUP(Append1[[#This Row],[Rating]],Table7[],2,0)</f>
        <v>4</v>
      </c>
    </row>
    <row r="180" spans="1:11" x14ac:dyDescent="0.3">
      <c r="A180" t="s">
        <v>201</v>
      </c>
      <c r="B180" t="s">
        <v>12</v>
      </c>
      <c r="C180" t="s">
        <v>20</v>
      </c>
      <c r="D180">
        <v>33</v>
      </c>
      <c r="E180" s="3">
        <v>44129</v>
      </c>
      <c r="F180" s="4">
        <v>96140</v>
      </c>
      <c r="G180" t="s">
        <v>10</v>
      </c>
      <c r="H180" t="s">
        <v>205</v>
      </c>
      <c r="I180" s="8">
        <f ca="1">(TODAY()-Append1[[#This Row],[Date joined]])/365</f>
        <v>3.4602739726027396</v>
      </c>
      <c r="J180" s="4">
        <f ca="1">ROUND(IF(Append1[[#This Row],[tenure]]&gt;2,3%,2%)*Append1[[#This Row],[Salary]],0)</f>
        <v>2884</v>
      </c>
      <c r="K180" s="5">
        <f>VLOOKUP(Append1[[#This Row],[Rating]],Table7[],2,0)</f>
        <v>3</v>
      </c>
    </row>
  </sheetData>
  <mergeCells count="1">
    <mergeCell ref="N2:O2"/>
  </mergeCells>
  <phoneticPr fontId="3" type="noConversion"/>
  <pageMargins left="0.7" right="0.7" top="0.75" bottom="0.75" header="0.3" footer="0.3"/>
  <pageSetup paperSize="9" scale="88" orientation="portrait" r:id="rId1"/>
  <colBreaks count="2" manualBreakCount="2">
    <brk id="12" max="179" man="1"/>
    <brk id="20" max="1048575" man="1"/>
  </colBreak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BEA07-657C-447F-8AB1-0B5293C7574F}">
  <sheetPr>
    <tabColor rgb="FF7030A0"/>
  </sheetPr>
  <dimension ref="C3:L28"/>
  <sheetViews>
    <sheetView showGridLines="0" showRowColHeaders="0" workbookViewId="0">
      <selection activeCell="U22" sqref="U22"/>
    </sheetView>
  </sheetViews>
  <sheetFormatPr defaultRowHeight="14.4" x14ac:dyDescent="0.3"/>
  <cols>
    <col min="4" max="4" width="10.44140625" bestFit="1" customWidth="1"/>
  </cols>
  <sheetData>
    <row r="3" spans="3:12" x14ac:dyDescent="0.3">
      <c r="C3" s="33"/>
      <c r="D3" s="33"/>
      <c r="E3" s="33"/>
      <c r="F3" s="33"/>
      <c r="G3" s="33"/>
      <c r="H3" s="33"/>
      <c r="I3" s="33"/>
      <c r="J3" s="33"/>
      <c r="K3" s="33"/>
      <c r="L3" s="33"/>
    </row>
    <row r="4" spans="3:12" x14ac:dyDescent="0.3">
      <c r="C4" s="33"/>
      <c r="D4" s="33"/>
      <c r="E4" s="33"/>
      <c r="F4" s="33"/>
      <c r="G4" s="33"/>
      <c r="H4" s="33"/>
      <c r="I4" s="33"/>
      <c r="J4" s="33"/>
      <c r="K4" s="33"/>
      <c r="L4" s="33"/>
    </row>
    <row r="5" spans="3:12" x14ac:dyDescent="0.3">
      <c r="C5" s="33"/>
      <c r="D5" s="33"/>
      <c r="E5" s="33"/>
      <c r="F5" s="33"/>
      <c r="G5" s="33"/>
      <c r="H5" s="33"/>
      <c r="I5" s="33"/>
      <c r="J5" s="33"/>
      <c r="K5" s="33"/>
      <c r="L5" s="33"/>
    </row>
    <row r="6" spans="3:12" x14ac:dyDescent="0.3">
      <c r="C6" s="33"/>
      <c r="D6" s="33"/>
      <c r="E6" s="33"/>
      <c r="F6" s="33"/>
      <c r="G6" s="33"/>
      <c r="H6" s="33"/>
      <c r="I6" s="33"/>
      <c r="J6" s="33"/>
      <c r="K6" s="33"/>
      <c r="L6" s="33"/>
    </row>
    <row r="7" spans="3:12" x14ac:dyDescent="0.3">
      <c r="C7" s="33"/>
      <c r="D7" s="33"/>
      <c r="E7" s="33"/>
      <c r="F7" s="33"/>
      <c r="G7" s="33"/>
      <c r="H7" s="33"/>
      <c r="I7" s="33"/>
      <c r="J7" s="33"/>
      <c r="K7" s="33"/>
      <c r="L7" s="33"/>
    </row>
    <row r="8" spans="3:12" x14ac:dyDescent="0.3">
      <c r="C8" s="33"/>
      <c r="D8" s="33"/>
      <c r="E8" s="33"/>
      <c r="F8" s="33"/>
      <c r="G8" s="33"/>
      <c r="H8" s="33"/>
      <c r="I8" s="33"/>
      <c r="J8" s="33"/>
      <c r="K8" s="33"/>
      <c r="L8" s="33"/>
    </row>
    <row r="9" spans="3:12" x14ac:dyDescent="0.3">
      <c r="C9" s="33"/>
      <c r="D9" s="33"/>
      <c r="E9" s="33"/>
      <c r="F9" s="33"/>
      <c r="G9" s="33"/>
      <c r="H9" s="33"/>
      <c r="I9" s="33"/>
      <c r="J9" s="33"/>
      <c r="K9" s="33"/>
      <c r="L9" s="33"/>
    </row>
    <row r="10" spans="3:12" x14ac:dyDescent="0.3">
      <c r="C10" s="33"/>
      <c r="D10" s="33"/>
      <c r="E10" s="33"/>
      <c r="F10" s="33"/>
      <c r="G10" s="33"/>
      <c r="H10" s="33"/>
      <c r="I10" s="33"/>
      <c r="J10" s="33"/>
      <c r="K10" s="33"/>
      <c r="L10" s="33"/>
    </row>
    <row r="11" spans="3:12" x14ac:dyDescent="0.3">
      <c r="C11" s="33"/>
      <c r="D11" s="33"/>
      <c r="E11" s="33"/>
      <c r="F11" s="33"/>
      <c r="G11" s="33"/>
      <c r="H11" s="33"/>
      <c r="I11" s="33"/>
      <c r="J11" s="33"/>
      <c r="K11" s="33"/>
      <c r="L11" s="33"/>
    </row>
    <row r="12" spans="3:12" x14ac:dyDescent="0.3">
      <c r="C12" s="33"/>
      <c r="D12" s="33"/>
      <c r="E12" s="33"/>
      <c r="F12" s="33"/>
      <c r="G12" s="33"/>
      <c r="H12" s="33"/>
      <c r="I12" s="33"/>
      <c r="J12" s="33"/>
      <c r="K12" s="33"/>
      <c r="L12" s="33"/>
    </row>
    <row r="13" spans="3:12" x14ac:dyDescent="0.3">
      <c r="C13" s="33"/>
      <c r="D13" s="33"/>
      <c r="E13" s="33"/>
      <c r="F13" s="33"/>
      <c r="G13" s="33"/>
      <c r="H13" s="33"/>
      <c r="I13" s="33"/>
      <c r="J13" s="33"/>
      <c r="K13" s="33"/>
      <c r="L13" s="33"/>
    </row>
    <row r="14" spans="3:12" x14ac:dyDescent="0.3">
      <c r="C14" s="33"/>
      <c r="D14" s="33"/>
      <c r="E14" s="33"/>
      <c r="F14" s="33"/>
      <c r="G14" s="33"/>
      <c r="H14" s="33"/>
      <c r="I14" s="33"/>
      <c r="J14" s="33"/>
      <c r="K14" s="33"/>
      <c r="L14" s="33"/>
    </row>
    <row r="15" spans="3:12" x14ac:dyDescent="0.3">
      <c r="C15" s="33"/>
      <c r="D15" s="33"/>
      <c r="E15" s="33"/>
      <c r="F15" s="33"/>
      <c r="G15" s="33"/>
      <c r="H15" s="33"/>
      <c r="I15" s="33"/>
      <c r="J15" s="33"/>
      <c r="K15" s="33"/>
      <c r="L15" s="33"/>
    </row>
    <row r="16" spans="3:12" x14ac:dyDescent="0.3">
      <c r="C16" s="33"/>
      <c r="D16" s="33"/>
      <c r="E16" s="33"/>
      <c r="F16" s="33"/>
      <c r="G16" s="33"/>
      <c r="H16" s="33"/>
      <c r="I16" s="33"/>
      <c r="J16" s="33"/>
      <c r="K16" s="33"/>
      <c r="L16" s="33"/>
    </row>
    <row r="17" spans="3:12" x14ac:dyDescent="0.3">
      <c r="C17" s="33"/>
      <c r="D17" s="33"/>
      <c r="E17" s="33"/>
      <c r="F17" s="33"/>
      <c r="G17" s="33"/>
      <c r="H17" s="33"/>
      <c r="I17" s="33"/>
      <c r="J17" s="33"/>
      <c r="K17" s="33"/>
      <c r="L17" s="33"/>
    </row>
    <row r="18" spans="3:12" x14ac:dyDescent="0.3">
      <c r="C18" s="33"/>
      <c r="D18" s="33"/>
      <c r="E18" s="33"/>
      <c r="F18" s="33"/>
      <c r="G18" s="33"/>
      <c r="H18" s="33"/>
      <c r="I18" s="33"/>
      <c r="J18" s="33"/>
      <c r="K18" s="33"/>
      <c r="L18" s="33"/>
    </row>
    <row r="19" spans="3:12" x14ac:dyDescent="0.3">
      <c r="C19" s="33"/>
      <c r="D19" s="33"/>
      <c r="E19" s="33"/>
      <c r="F19" s="33"/>
      <c r="G19" s="33"/>
      <c r="H19" s="33"/>
      <c r="I19" s="33"/>
      <c r="J19" s="33"/>
      <c r="K19" s="33"/>
      <c r="L19" s="33"/>
    </row>
    <row r="20" spans="3:12" x14ac:dyDescent="0.3">
      <c r="C20" s="33"/>
      <c r="D20" s="33"/>
      <c r="E20" s="33"/>
      <c r="F20" s="33"/>
      <c r="G20" s="33"/>
      <c r="H20" s="33"/>
      <c r="I20" s="33"/>
      <c r="J20" s="33"/>
      <c r="K20" s="33"/>
      <c r="L20" s="33"/>
    </row>
    <row r="21" spans="3:12" x14ac:dyDescent="0.3">
      <c r="C21" s="33"/>
      <c r="E21" s="33"/>
      <c r="F21" s="33"/>
      <c r="G21" s="33"/>
      <c r="H21" s="33"/>
      <c r="I21" s="33"/>
      <c r="J21" s="33"/>
      <c r="K21" s="33"/>
      <c r="L21" s="33"/>
    </row>
    <row r="22" spans="3:12" x14ac:dyDescent="0.3">
      <c r="C22" s="33"/>
      <c r="E22" s="34"/>
      <c r="F22" s="33"/>
      <c r="G22" s="33"/>
      <c r="H22" s="33"/>
      <c r="I22" s="33"/>
      <c r="J22" s="33"/>
      <c r="K22" s="33"/>
      <c r="L22" s="33"/>
    </row>
    <row r="23" spans="3:12" x14ac:dyDescent="0.3">
      <c r="C23" s="33"/>
      <c r="E23" s="35"/>
      <c r="F23" s="33"/>
      <c r="G23" s="33"/>
      <c r="H23" s="33"/>
      <c r="I23" s="33"/>
      <c r="J23" s="33"/>
      <c r="K23" s="33"/>
      <c r="L23" s="33"/>
    </row>
    <row r="24" spans="3:12" x14ac:dyDescent="0.3">
      <c r="C24" s="33"/>
      <c r="D24" s="33"/>
      <c r="E24" s="33"/>
      <c r="F24" s="33"/>
      <c r="G24" s="33"/>
      <c r="H24" s="33"/>
      <c r="I24" s="33"/>
      <c r="J24" s="33"/>
      <c r="K24" s="33"/>
      <c r="L24" s="33"/>
    </row>
    <row r="25" spans="3:12" x14ac:dyDescent="0.3">
      <c r="C25" s="33"/>
      <c r="D25" s="33"/>
      <c r="E25" s="33"/>
      <c r="F25" s="33"/>
      <c r="G25" s="33"/>
      <c r="H25" s="33"/>
      <c r="I25" s="33"/>
      <c r="J25" s="33"/>
      <c r="K25" s="33"/>
      <c r="L25" s="33"/>
    </row>
    <row r="26" spans="3:12" x14ac:dyDescent="0.3">
      <c r="C26" s="33"/>
      <c r="D26" s="33"/>
      <c r="E26" s="33"/>
      <c r="F26" s="33"/>
      <c r="G26" s="33"/>
      <c r="H26" s="33"/>
      <c r="I26" s="33"/>
      <c r="J26" s="33"/>
      <c r="K26" s="33"/>
      <c r="L26" s="33"/>
    </row>
    <row r="27" spans="3:12" x14ac:dyDescent="0.3">
      <c r="C27" s="33"/>
      <c r="D27" s="33"/>
      <c r="E27" s="33"/>
      <c r="F27" s="33"/>
      <c r="G27" s="33"/>
      <c r="H27" s="33"/>
      <c r="I27" s="33"/>
      <c r="J27" s="33"/>
      <c r="K27" s="33"/>
      <c r="L27" s="33"/>
    </row>
    <row r="28" spans="3:12" x14ac:dyDescent="0.3">
      <c r="C28" s="33"/>
      <c r="D28" s="33"/>
      <c r="E28" s="33"/>
      <c r="F28" s="33"/>
      <c r="G28" s="33"/>
      <c r="H28" s="33"/>
      <c r="I28" s="33"/>
      <c r="J28" s="33"/>
      <c r="K28" s="33"/>
      <c r="L28" s="3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C3F6B-9795-491E-B56F-E9CDD474E501}">
  <sheetPr>
    <tabColor theme="4" tint="-0.249977111117893"/>
  </sheetPr>
  <dimension ref="A2:C9"/>
  <sheetViews>
    <sheetView workbookViewId="0">
      <selection activeCell="A7" sqref="A7"/>
    </sheetView>
  </sheetViews>
  <sheetFormatPr defaultRowHeight="14.4" x14ac:dyDescent="0.3"/>
  <cols>
    <col min="1" max="1" width="16.33203125" customWidth="1"/>
  </cols>
  <sheetData>
    <row r="2" spans="1:3" x14ac:dyDescent="0.3">
      <c r="A2" s="19" t="s">
        <v>222</v>
      </c>
    </row>
    <row r="4" spans="1:3" x14ac:dyDescent="0.3">
      <c r="A4" t="s">
        <v>224</v>
      </c>
    </row>
    <row r="5" spans="1:3" x14ac:dyDescent="0.3">
      <c r="A5" t="s">
        <v>223</v>
      </c>
      <c r="C5" t="s">
        <v>228</v>
      </c>
    </row>
    <row r="7" spans="1:3" x14ac:dyDescent="0.3">
      <c r="A7" t="s">
        <v>225</v>
      </c>
    </row>
    <row r="8" spans="1:3" x14ac:dyDescent="0.3">
      <c r="A8" t="s">
        <v>226</v>
      </c>
    </row>
    <row r="9" spans="1:3" x14ac:dyDescent="0.3">
      <c r="A9" t="s">
        <v>227</v>
      </c>
      <c r="C9">
        <f>COUNTIFS('All staff'!C:C,C5)</f>
        <v>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4F90C-6140-47DC-8FC5-92CD4C7ACF00}">
  <sheetPr>
    <tabColor theme="4" tint="-0.249977111117893"/>
  </sheetPr>
  <dimension ref="A2:C10"/>
  <sheetViews>
    <sheetView workbookViewId="0">
      <selection activeCell="J8" sqref="J8"/>
    </sheetView>
  </sheetViews>
  <sheetFormatPr defaultRowHeight="14.4" x14ac:dyDescent="0.3"/>
  <cols>
    <col min="1" max="1" width="15.6640625" bestFit="1" customWidth="1"/>
    <col min="2" max="2" width="15.5546875" bestFit="1" customWidth="1"/>
    <col min="3" max="3" width="10.44140625" bestFit="1" customWidth="1"/>
    <col min="4" max="4" width="10.77734375" bestFit="1" customWidth="1"/>
    <col min="5" max="5" width="12" bestFit="1" customWidth="1"/>
    <col min="6" max="6" width="15.5546875" bestFit="1" customWidth="1"/>
    <col min="7" max="8" width="18.6640625" bestFit="1" customWidth="1"/>
  </cols>
  <sheetData>
    <row r="2" spans="1:3" x14ac:dyDescent="0.3">
      <c r="A2" s="19" t="s">
        <v>229</v>
      </c>
      <c r="B2" s="19"/>
    </row>
    <row r="5" spans="1:3" x14ac:dyDescent="0.3">
      <c r="B5" s="22" t="s">
        <v>230</v>
      </c>
    </row>
    <row r="6" spans="1:3" x14ac:dyDescent="0.3">
      <c r="A6" s="22" t="s">
        <v>234</v>
      </c>
      <c r="B6" t="s">
        <v>12</v>
      </c>
      <c r="C6" t="s">
        <v>5</v>
      </c>
    </row>
    <row r="7" spans="1:3" x14ac:dyDescent="0.3">
      <c r="A7" s="23" t="s">
        <v>232</v>
      </c>
      <c r="B7" s="5">
        <v>43</v>
      </c>
      <c r="C7" s="5">
        <v>45</v>
      </c>
    </row>
    <row r="8" spans="1:3" x14ac:dyDescent="0.3">
      <c r="A8" s="23" t="s">
        <v>233</v>
      </c>
      <c r="B8" s="8">
        <v>31.418604651162791</v>
      </c>
      <c r="C8" s="8">
        <v>29.444444444444443</v>
      </c>
    </row>
    <row r="9" spans="1:3" x14ac:dyDescent="0.3">
      <c r="A9" s="23" t="s">
        <v>236</v>
      </c>
      <c r="B9" s="9">
        <v>2.7132844855049378</v>
      </c>
      <c r="C9" s="9">
        <v>2.6963165905631654</v>
      </c>
    </row>
    <row r="10" spans="1:3" x14ac:dyDescent="0.3">
      <c r="A10" s="23" t="s">
        <v>235</v>
      </c>
      <c r="B10" s="24">
        <v>78284.186046511633</v>
      </c>
      <c r="C10" s="24">
        <v>75334.444444444438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12691-F3FD-422C-B99D-C76C85603D3B}">
  <sheetPr>
    <tabColor rgb="FF00B050"/>
  </sheetPr>
  <dimension ref="A1:K7"/>
  <sheetViews>
    <sheetView workbookViewId="0">
      <selection activeCell="M2" sqref="M2"/>
    </sheetView>
  </sheetViews>
  <sheetFormatPr defaultRowHeight="14.4" x14ac:dyDescent="0.3"/>
  <sheetData>
    <row r="1" spans="1:11" ht="36.6" x14ac:dyDescent="0.7">
      <c r="A1" s="26" t="s">
        <v>240</v>
      </c>
      <c r="B1" s="27"/>
      <c r="C1" s="27"/>
      <c r="D1" s="27"/>
      <c r="E1" s="27"/>
      <c r="F1" s="27"/>
      <c r="G1" s="27"/>
      <c r="H1" s="27"/>
      <c r="I1" s="27"/>
      <c r="J1" s="27"/>
      <c r="K1" s="27"/>
    </row>
    <row r="2" spans="1:11" x14ac:dyDescent="0.3">
      <c r="A2" s="25"/>
      <c r="B2" s="25"/>
      <c r="C2" s="25"/>
      <c r="D2" s="25"/>
      <c r="E2" s="25"/>
      <c r="F2" s="25"/>
      <c r="G2" s="25"/>
      <c r="H2" s="25"/>
      <c r="I2" s="25"/>
      <c r="J2" s="25"/>
      <c r="K2" s="25"/>
    </row>
    <row r="3" spans="1:11" x14ac:dyDescent="0.3">
      <c r="A3" s="25"/>
      <c r="B3" s="25"/>
      <c r="C3" s="25"/>
      <c r="D3" s="25"/>
      <c r="E3" s="25"/>
      <c r="F3" s="25"/>
      <c r="G3" s="25"/>
      <c r="H3" s="25"/>
      <c r="I3" s="25"/>
      <c r="J3" s="25"/>
      <c r="K3" s="25"/>
    </row>
    <row r="4" spans="1:11" x14ac:dyDescent="0.3">
      <c r="A4" s="25"/>
      <c r="B4" s="25"/>
      <c r="C4" s="25"/>
      <c r="D4" s="25"/>
      <c r="E4" s="25"/>
      <c r="F4" s="25"/>
      <c r="G4" s="25"/>
      <c r="H4" s="25"/>
      <c r="I4" s="25"/>
      <c r="J4" s="25"/>
      <c r="K4" s="25"/>
    </row>
    <row r="5" spans="1:11" x14ac:dyDescent="0.3">
      <c r="A5" s="25"/>
      <c r="B5" s="25"/>
      <c r="C5" s="25"/>
      <c r="D5" s="25"/>
      <c r="E5" s="25"/>
      <c r="F5" s="25"/>
      <c r="G5" s="25"/>
      <c r="H5" s="25"/>
      <c r="I5" s="25"/>
      <c r="J5" s="25"/>
      <c r="K5" s="25"/>
    </row>
    <row r="6" spans="1:11" x14ac:dyDescent="0.3">
      <c r="A6" s="25"/>
      <c r="B6" s="25"/>
      <c r="C6" s="25"/>
      <c r="D6" s="25"/>
      <c r="E6" s="25"/>
      <c r="F6" s="25"/>
      <c r="G6" s="25"/>
      <c r="H6" s="25"/>
      <c r="I6" s="25"/>
      <c r="J6" s="25"/>
      <c r="K6" s="25"/>
    </row>
    <row r="7" spans="1:11" x14ac:dyDescent="0.3">
      <c r="A7" s="25"/>
      <c r="B7" s="25"/>
      <c r="C7" s="25"/>
      <c r="D7" s="25"/>
      <c r="E7" s="25"/>
      <c r="F7" s="25"/>
      <c r="G7" s="25"/>
      <c r="H7" s="25"/>
      <c r="I7" s="25"/>
      <c r="J7" s="25"/>
      <c r="K7" s="2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90F52-1427-4A59-80B5-28FA2D7D559C}">
  <sheetPr>
    <tabColor rgb="FF00B050"/>
  </sheetPr>
  <dimension ref="A2:K26"/>
  <sheetViews>
    <sheetView workbookViewId="0">
      <selection activeCell="D12" sqref="D12"/>
    </sheetView>
  </sheetViews>
  <sheetFormatPr defaultRowHeight="14.4" x14ac:dyDescent="0.3"/>
  <cols>
    <col min="1" max="1" width="13.109375" bestFit="1" customWidth="1"/>
    <col min="2" max="2" width="13.88671875" bestFit="1" customWidth="1"/>
    <col min="3" max="3" width="15.77734375" bestFit="1" customWidth="1"/>
    <col min="7" max="7" width="12.44140625" customWidth="1"/>
    <col min="8" max="8" width="10.44140625" customWidth="1"/>
  </cols>
  <sheetData>
    <row r="2" spans="1:9" ht="33.6" x14ac:dyDescent="0.65">
      <c r="A2" s="28" t="s">
        <v>241</v>
      </c>
      <c r="B2" s="27"/>
      <c r="C2" s="27"/>
      <c r="D2" s="27"/>
      <c r="E2" s="27"/>
      <c r="F2" s="27"/>
      <c r="G2" s="27"/>
      <c r="H2" s="27"/>
      <c r="I2" s="27"/>
    </row>
    <row r="3" spans="1:9" x14ac:dyDescent="0.3">
      <c r="A3" t="s">
        <v>243</v>
      </c>
    </row>
    <row r="5" spans="1:9" x14ac:dyDescent="0.3">
      <c r="A5" s="22" t="s">
        <v>242</v>
      </c>
      <c r="B5" t="s">
        <v>232</v>
      </c>
      <c r="C5" t="s">
        <v>235</v>
      </c>
    </row>
    <row r="6" spans="1:9" x14ac:dyDescent="0.3">
      <c r="A6" s="23" t="s">
        <v>40</v>
      </c>
      <c r="B6" s="5">
        <v>4</v>
      </c>
      <c r="C6" s="8">
        <v>92080</v>
      </c>
    </row>
    <row r="7" spans="1:9" x14ac:dyDescent="0.3">
      <c r="A7" s="23" t="s">
        <v>7</v>
      </c>
      <c r="B7" s="5">
        <v>19</v>
      </c>
      <c r="C7" s="8">
        <v>75155.789473684214</v>
      </c>
    </row>
    <row r="8" spans="1:9" x14ac:dyDescent="0.3">
      <c r="A8" s="23" t="s">
        <v>10</v>
      </c>
      <c r="B8" s="5">
        <v>135</v>
      </c>
      <c r="C8" s="8">
        <v>76786.074074074073</v>
      </c>
    </row>
    <row r="9" spans="1:9" x14ac:dyDescent="0.3">
      <c r="A9" s="23" t="s">
        <v>15</v>
      </c>
      <c r="B9" s="5">
        <v>15</v>
      </c>
      <c r="C9" s="8">
        <v>75626.666666666672</v>
      </c>
    </row>
    <row r="10" spans="1:9" x14ac:dyDescent="0.3">
      <c r="A10" s="23" t="s">
        <v>46</v>
      </c>
      <c r="B10" s="5">
        <v>6</v>
      </c>
      <c r="C10" s="8">
        <v>77423.333333333328</v>
      </c>
    </row>
    <row r="11" spans="1:9" x14ac:dyDescent="0.3">
      <c r="A11" s="23" t="s">
        <v>231</v>
      </c>
      <c r="B11" s="5">
        <v>179</v>
      </c>
      <c r="C11" s="8">
        <v>76878.994413407825</v>
      </c>
    </row>
    <row r="15" spans="1:9" x14ac:dyDescent="0.3">
      <c r="A15" s="29" t="s">
        <v>245</v>
      </c>
    </row>
    <row r="17" spans="1:11" x14ac:dyDescent="0.3">
      <c r="A17" s="23" t="s">
        <v>246</v>
      </c>
      <c r="B17" t="s">
        <v>247</v>
      </c>
    </row>
    <row r="18" spans="1:11" x14ac:dyDescent="0.3">
      <c r="A18" s="23" t="s">
        <v>40</v>
      </c>
      <c r="B18">
        <v>5</v>
      </c>
    </row>
    <row r="19" spans="1:11" x14ac:dyDescent="0.3">
      <c r="A19" s="23" t="s">
        <v>7</v>
      </c>
      <c r="B19">
        <v>4</v>
      </c>
    </row>
    <row r="20" spans="1:11" x14ac:dyDescent="0.3">
      <c r="A20" s="23" t="s">
        <v>10</v>
      </c>
      <c r="B20">
        <v>3</v>
      </c>
    </row>
    <row r="21" spans="1:11" x14ac:dyDescent="0.3">
      <c r="A21" s="23" t="s">
        <v>15</v>
      </c>
      <c r="B21">
        <v>2</v>
      </c>
    </row>
    <row r="22" spans="1:11" x14ac:dyDescent="0.3">
      <c r="A22" s="23" t="s">
        <v>46</v>
      </c>
      <c r="B22">
        <v>1</v>
      </c>
    </row>
    <row r="26" spans="1:11" x14ac:dyDescent="0.3">
      <c r="K26" t="s">
        <v>248</v>
      </c>
    </row>
  </sheetData>
  <conditionalFormatting pivot="1" sqref="C6:C10">
    <cfRule type="dataBar" priority="1">
      <dataBar>
        <cfvo type="min"/>
        <cfvo type="max"/>
        <color rgb="FFFF555A"/>
      </dataBar>
      <extLst>
        <ext xmlns:x14="http://schemas.microsoft.com/office/spreadsheetml/2009/9/main" uri="{B025F937-C7B1-47D3-B67F-A62EFF666E3E}">
          <x14:id>{A8EC35B4-D730-429A-B6A3-641020230D27}</x14:id>
        </ext>
      </extLst>
    </cfRule>
  </conditionalFormatting>
  <pageMargins left="0.7" right="0.7" top="0.75" bottom="0.75" header="0.3" footer="0.3"/>
  <drawing r:id="rId2"/>
  <tableParts count="1">
    <tablePart r:id="rId3"/>
  </tableParts>
  <extLst>
    <ext xmlns:x14="http://schemas.microsoft.com/office/spreadsheetml/2009/9/main" uri="{78C0D931-6437-407d-A8EE-F0AAD7539E65}">
      <x14:conditionalFormattings>
        <x14:conditionalFormatting xmlns:xm="http://schemas.microsoft.com/office/excel/2006/main" pivot="1">
          <x14:cfRule type="dataBar" id="{A8EC35B4-D730-429A-B6A3-641020230D27}">
            <x14:dataBar minLength="0" maxLength="100" border="1" negativeBarBorderColorSameAsPositive="0">
              <x14:cfvo type="autoMin"/>
              <x14:cfvo type="autoMax"/>
              <x14:borderColor rgb="FFFF555A"/>
              <x14:negativeFillColor rgb="FFFF0000"/>
              <x14:negativeBorderColor rgb="FFFF0000"/>
              <x14:axisColor rgb="FF000000"/>
            </x14:dataBar>
          </x14:cfRule>
          <xm:sqref>C6:C10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34FF5-0CD3-4846-8CA4-64BC68E20B73}">
  <sheetPr>
    <tabColor rgb="FF00B050"/>
  </sheetPr>
  <dimension ref="A1:N41"/>
  <sheetViews>
    <sheetView workbookViewId="0">
      <selection activeCell="A5" sqref="A5"/>
    </sheetView>
  </sheetViews>
  <sheetFormatPr defaultRowHeight="14.4" x14ac:dyDescent="0.3"/>
  <cols>
    <col min="1" max="1" width="12.5546875" bestFit="1" customWidth="1"/>
    <col min="2" max="2" width="13.88671875" bestFit="1" customWidth="1"/>
    <col min="14" max="14" width="10" customWidth="1"/>
    <col min="15" max="15" width="12.21875" customWidth="1"/>
  </cols>
  <sheetData>
    <row r="1" spans="1:14" ht="31.2" x14ac:dyDescent="0.6">
      <c r="A1" s="30" t="s">
        <v>249</v>
      </c>
      <c r="B1" s="27"/>
      <c r="C1" s="27"/>
      <c r="D1" s="27"/>
      <c r="E1" s="27"/>
      <c r="F1" s="27"/>
      <c r="G1" s="27"/>
    </row>
    <row r="2" spans="1:14" x14ac:dyDescent="0.3">
      <c r="M2" s="32"/>
      <c r="N2" s="5"/>
    </row>
    <row r="3" spans="1:14" x14ac:dyDescent="0.3">
      <c r="M3" s="32"/>
      <c r="N3" s="5"/>
    </row>
    <row r="4" spans="1:14" x14ac:dyDescent="0.3">
      <c r="A4" s="22" t="s">
        <v>242</v>
      </c>
      <c r="B4" t="s">
        <v>232</v>
      </c>
      <c r="M4" s="32"/>
      <c r="N4" s="5"/>
    </row>
    <row r="5" spans="1:14" x14ac:dyDescent="0.3">
      <c r="A5" s="23" t="s">
        <v>250</v>
      </c>
      <c r="B5" s="5"/>
      <c r="M5" s="32"/>
      <c r="N5" s="5"/>
    </row>
    <row r="6" spans="1:14" x14ac:dyDescent="0.3">
      <c r="A6" s="31" t="s">
        <v>251</v>
      </c>
      <c r="B6" s="5">
        <v>3</v>
      </c>
      <c r="M6" s="32"/>
      <c r="N6" s="5"/>
    </row>
    <row r="7" spans="1:14" x14ac:dyDescent="0.3">
      <c r="A7" s="31" t="s">
        <v>252</v>
      </c>
      <c r="B7" s="5">
        <v>4</v>
      </c>
      <c r="M7" s="32"/>
      <c r="N7" s="5"/>
    </row>
    <row r="8" spans="1:14" x14ac:dyDescent="0.3">
      <c r="A8" s="31" t="s">
        <v>253</v>
      </c>
      <c r="B8" s="5">
        <v>9</v>
      </c>
      <c r="M8" s="32"/>
      <c r="N8" s="5"/>
    </row>
    <row r="9" spans="1:14" x14ac:dyDescent="0.3">
      <c r="A9" s="31" t="s">
        <v>254</v>
      </c>
      <c r="B9" s="5">
        <v>12</v>
      </c>
      <c r="M9" s="32"/>
      <c r="N9" s="5"/>
    </row>
    <row r="10" spans="1:14" x14ac:dyDescent="0.3">
      <c r="A10" s="31" t="s">
        <v>255</v>
      </c>
      <c r="B10" s="5">
        <v>18</v>
      </c>
      <c r="M10" s="32"/>
      <c r="N10" s="5"/>
    </row>
    <row r="11" spans="1:14" x14ac:dyDescent="0.3">
      <c r="A11" s="31" t="s">
        <v>256</v>
      </c>
      <c r="B11" s="5">
        <v>24</v>
      </c>
      <c r="M11" s="32"/>
      <c r="N11" s="5"/>
    </row>
    <row r="12" spans="1:14" x14ac:dyDescent="0.3">
      <c r="A12" s="31" t="s">
        <v>257</v>
      </c>
      <c r="B12" s="5">
        <v>29</v>
      </c>
      <c r="M12" s="32"/>
      <c r="N12" s="5"/>
    </row>
    <row r="13" spans="1:14" x14ac:dyDescent="0.3">
      <c r="A13" s="31" t="s">
        <v>258</v>
      </c>
      <c r="B13" s="5">
        <v>36</v>
      </c>
      <c r="M13" s="32"/>
      <c r="N13" s="5"/>
    </row>
    <row r="14" spans="1:14" x14ac:dyDescent="0.3">
      <c r="A14" s="23" t="s">
        <v>259</v>
      </c>
      <c r="B14" s="5"/>
      <c r="M14" s="32"/>
      <c r="N14" s="5"/>
    </row>
    <row r="15" spans="1:14" x14ac:dyDescent="0.3">
      <c r="A15" s="31" t="s">
        <v>260</v>
      </c>
      <c r="B15" s="5">
        <v>6</v>
      </c>
      <c r="M15" s="32"/>
      <c r="N15" s="5"/>
    </row>
    <row r="16" spans="1:14" x14ac:dyDescent="0.3">
      <c r="A16" s="31" t="s">
        <v>261</v>
      </c>
      <c r="B16" s="5">
        <v>10</v>
      </c>
      <c r="M16" s="32"/>
      <c r="N16" s="5"/>
    </row>
    <row r="17" spans="1:14" x14ac:dyDescent="0.3">
      <c r="A17" s="31" t="s">
        <v>262</v>
      </c>
      <c r="B17" s="5">
        <v>18</v>
      </c>
      <c r="M17" s="32"/>
      <c r="N17" s="5"/>
    </row>
    <row r="18" spans="1:14" x14ac:dyDescent="0.3">
      <c r="A18" s="31" t="s">
        <v>263</v>
      </c>
      <c r="B18" s="5">
        <v>23</v>
      </c>
      <c r="M18" s="32"/>
      <c r="N18" s="5"/>
    </row>
    <row r="19" spans="1:14" x14ac:dyDescent="0.3">
      <c r="A19" s="31" t="s">
        <v>251</v>
      </c>
      <c r="B19" s="5">
        <v>33</v>
      </c>
      <c r="M19" s="32"/>
      <c r="N19" s="5"/>
    </row>
    <row r="20" spans="1:14" x14ac:dyDescent="0.3">
      <c r="A20" s="31" t="s">
        <v>252</v>
      </c>
      <c r="B20" s="5">
        <v>39</v>
      </c>
      <c r="M20" s="32"/>
      <c r="N20" s="5"/>
    </row>
    <row r="21" spans="1:14" x14ac:dyDescent="0.3">
      <c r="A21" s="31" t="s">
        <v>253</v>
      </c>
      <c r="B21" s="5">
        <v>52</v>
      </c>
      <c r="M21" s="32"/>
      <c r="N21" s="5"/>
    </row>
    <row r="22" spans="1:14" x14ac:dyDescent="0.3">
      <c r="A22" s="31" t="s">
        <v>254</v>
      </c>
      <c r="B22" s="5">
        <v>56</v>
      </c>
      <c r="M22" s="32"/>
      <c r="N22" s="5"/>
    </row>
    <row r="23" spans="1:14" x14ac:dyDescent="0.3">
      <c r="A23" s="31" t="s">
        <v>255</v>
      </c>
      <c r="B23" s="5">
        <v>67</v>
      </c>
      <c r="M23" s="32"/>
      <c r="N23" s="5"/>
    </row>
    <row r="24" spans="1:14" x14ac:dyDescent="0.3">
      <c r="A24" s="31" t="s">
        <v>256</v>
      </c>
      <c r="B24" s="5">
        <v>70</v>
      </c>
      <c r="M24" s="32"/>
      <c r="N24" s="5"/>
    </row>
    <row r="25" spans="1:14" x14ac:dyDescent="0.3">
      <c r="A25" s="31" t="s">
        <v>257</v>
      </c>
      <c r="B25" s="5">
        <v>74</v>
      </c>
      <c r="M25" s="32"/>
      <c r="N25" s="5"/>
    </row>
    <row r="26" spans="1:14" x14ac:dyDescent="0.3">
      <c r="A26" s="31" t="s">
        <v>258</v>
      </c>
      <c r="B26" s="5">
        <v>81</v>
      </c>
      <c r="M26" s="32"/>
      <c r="N26" s="5"/>
    </row>
    <row r="27" spans="1:14" x14ac:dyDescent="0.3">
      <c r="A27" s="23" t="s">
        <v>264</v>
      </c>
      <c r="B27" s="5"/>
      <c r="M27" s="32"/>
      <c r="N27" s="5"/>
    </row>
    <row r="28" spans="1:14" x14ac:dyDescent="0.3">
      <c r="A28" s="31" t="s">
        <v>260</v>
      </c>
      <c r="B28" s="5">
        <v>3</v>
      </c>
      <c r="M28" s="32"/>
      <c r="N28" s="5"/>
    </row>
    <row r="29" spans="1:14" x14ac:dyDescent="0.3">
      <c r="A29" s="31" t="s">
        <v>261</v>
      </c>
      <c r="B29" s="5">
        <v>12</v>
      </c>
      <c r="M29" s="32"/>
      <c r="N29" s="5"/>
    </row>
    <row r="30" spans="1:14" x14ac:dyDescent="0.3">
      <c r="A30" s="31" t="s">
        <v>262</v>
      </c>
      <c r="B30" s="5">
        <v>21</v>
      </c>
      <c r="M30" s="32"/>
      <c r="N30" s="5"/>
    </row>
    <row r="31" spans="1:14" x14ac:dyDescent="0.3">
      <c r="A31" s="31" t="s">
        <v>263</v>
      </c>
      <c r="B31" s="5">
        <v>30</v>
      </c>
      <c r="M31" s="32"/>
      <c r="N31" s="5"/>
    </row>
    <row r="32" spans="1:14" x14ac:dyDescent="0.3">
      <c r="A32" s="31" t="s">
        <v>251</v>
      </c>
      <c r="B32" s="5">
        <v>39</v>
      </c>
      <c r="M32" s="32"/>
      <c r="N32" s="5"/>
    </row>
    <row r="33" spans="1:14" x14ac:dyDescent="0.3">
      <c r="A33" s="31" t="s">
        <v>252</v>
      </c>
      <c r="B33" s="5">
        <v>46</v>
      </c>
      <c r="M33" s="32"/>
      <c r="N33" s="5"/>
    </row>
    <row r="34" spans="1:14" x14ac:dyDescent="0.3">
      <c r="A34" s="31" t="s">
        <v>253</v>
      </c>
      <c r="B34" s="5">
        <v>51</v>
      </c>
      <c r="M34" s="32"/>
    </row>
    <row r="35" spans="1:14" x14ac:dyDescent="0.3">
      <c r="A35" s="31" t="s">
        <v>254</v>
      </c>
      <c r="B35" s="5">
        <v>55</v>
      </c>
    </row>
    <row r="36" spans="1:14" x14ac:dyDescent="0.3">
      <c r="A36" s="31" t="s">
        <v>255</v>
      </c>
      <c r="B36" s="5">
        <v>57</v>
      </c>
    </row>
    <row r="37" spans="1:14" x14ac:dyDescent="0.3">
      <c r="A37" s="31" t="s">
        <v>256</v>
      </c>
      <c r="B37" s="5">
        <v>60</v>
      </c>
    </row>
    <row r="38" spans="1:14" x14ac:dyDescent="0.3">
      <c r="A38" s="23" t="s">
        <v>265</v>
      </c>
      <c r="B38" s="5"/>
    </row>
    <row r="39" spans="1:14" x14ac:dyDescent="0.3">
      <c r="A39" s="31" t="s">
        <v>261</v>
      </c>
      <c r="B39" s="5">
        <v>1</v>
      </c>
    </row>
    <row r="40" spans="1:14" x14ac:dyDescent="0.3">
      <c r="A40" s="31" t="s">
        <v>263</v>
      </c>
      <c r="B40" s="5">
        <v>2</v>
      </c>
    </row>
    <row r="41" spans="1:14" x14ac:dyDescent="0.3">
      <c r="A41" s="23" t="s">
        <v>231</v>
      </c>
      <c r="B41" s="5"/>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7878F-7F9F-4C4A-8D1A-4105EB0617EF}">
  <dimension ref="A4:L17"/>
  <sheetViews>
    <sheetView workbookViewId="0">
      <selection activeCell="L19" sqref="L19"/>
    </sheetView>
  </sheetViews>
  <sheetFormatPr defaultRowHeight="14.4" x14ac:dyDescent="0.3"/>
  <cols>
    <col min="1" max="1" width="12.5546875" bestFit="1" customWidth="1"/>
    <col min="2" max="2" width="13.88671875" bestFit="1" customWidth="1"/>
    <col min="4" max="4" width="12.5546875" bestFit="1" customWidth="1"/>
    <col min="5" max="5" width="13.88671875" bestFit="1" customWidth="1"/>
    <col min="11" max="11" width="12.5546875" bestFit="1" customWidth="1"/>
    <col min="12" max="12" width="13.88671875" bestFit="1" customWidth="1"/>
  </cols>
  <sheetData>
    <row r="4" spans="1:12" x14ac:dyDescent="0.3">
      <c r="A4" s="33">
        <f>COUNTIFS('All staff'!H:H,'All staff'!H100)</f>
        <v>92</v>
      </c>
    </row>
    <row r="5" spans="1:12" x14ac:dyDescent="0.3">
      <c r="A5" s="34">
        <f>COUNTIFS('All staff'!H:H,'All staff'!H100,'All staff'!B:B,'All staff'!B4)/A4</f>
        <v>0.46739130434782611</v>
      </c>
    </row>
    <row r="6" spans="1:12" x14ac:dyDescent="0.3">
      <c r="A6" s="35">
        <f>AVERAGEIFS('All staff'!F:F,'All staff'!H:H,"NZ")</f>
        <v>76363.448275862072</v>
      </c>
    </row>
    <row r="8" spans="1:12" x14ac:dyDescent="0.3">
      <c r="K8" s="22" t="s">
        <v>242</v>
      </c>
      <c r="L8" t="s">
        <v>232</v>
      </c>
    </row>
    <row r="9" spans="1:12" x14ac:dyDescent="0.3">
      <c r="A9" s="22" t="s">
        <v>204</v>
      </c>
      <c r="B9" t="s" vm="1">
        <v>214</v>
      </c>
      <c r="D9" s="22" t="s">
        <v>204</v>
      </c>
      <c r="E9" t="s" vm="2">
        <v>205</v>
      </c>
      <c r="K9" s="23" t="s">
        <v>12</v>
      </c>
      <c r="L9" s="5">
        <v>43</v>
      </c>
    </row>
    <row r="10" spans="1:12" x14ac:dyDescent="0.3">
      <c r="K10" s="23" t="s">
        <v>5</v>
      </c>
      <c r="L10" s="5">
        <v>44</v>
      </c>
    </row>
    <row r="11" spans="1:12" x14ac:dyDescent="0.3">
      <c r="A11" s="22" t="s">
        <v>242</v>
      </c>
      <c r="B11" t="s">
        <v>232</v>
      </c>
      <c r="D11" s="22" t="s">
        <v>242</v>
      </c>
      <c r="E11" t="s">
        <v>232</v>
      </c>
      <c r="K11" s="23" t="s">
        <v>231</v>
      </c>
      <c r="L11" s="5">
        <v>87</v>
      </c>
    </row>
    <row r="12" spans="1:12" x14ac:dyDescent="0.3">
      <c r="A12" s="23" t="s">
        <v>9</v>
      </c>
      <c r="B12" s="5">
        <v>27</v>
      </c>
      <c r="D12" s="23" t="s">
        <v>9</v>
      </c>
      <c r="E12" s="5">
        <v>28</v>
      </c>
    </row>
    <row r="13" spans="1:12" x14ac:dyDescent="0.3">
      <c r="A13" s="23" t="s">
        <v>20</v>
      </c>
      <c r="B13" s="5">
        <v>25</v>
      </c>
      <c r="D13" s="23" t="s">
        <v>20</v>
      </c>
      <c r="E13" s="5">
        <v>27</v>
      </c>
    </row>
    <row r="14" spans="1:12" x14ac:dyDescent="0.3">
      <c r="A14" s="23" t="s">
        <v>14</v>
      </c>
      <c r="B14" s="5">
        <v>17</v>
      </c>
      <c r="D14" s="23" t="s">
        <v>14</v>
      </c>
      <c r="E14" s="5">
        <v>19</v>
      </c>
    </row>
    <row r="15" spans="1:12" x14ac:dyDescent="0.3">
      <c r="A15" s="23" t="s">
        <v>6</v>
      </c>
      <c r="B15" s="5">
        <v>14</v>
      </c>
      <c r="D15" s="23" t="s">
        <v>6</v>
      </c>
      <c r="E15" s="5">
        <v>14</v>
      </c>
    </row>
    <row r="16" spans="1:12" x14ac:dyDescent="0.3">
      <c r="A16" s="23" t="s">
        <v>23</v>
      </c>
      <c r="B16" s="5">
        <v>4</v>
      </c>
      <c r="D16" s="23" t="s">
        <v>23</v>
      </c>
      <c r="E16" s="5">
        <v>4</v>
      </c>
    </row>
    <row r="17" spans="1:5" x14ac:dyDescent="0.3">
      <c r="A17" s="23" t="s">
        <v>231</v>
      </c>
      <c r="B17" s="5">
        <v>87</v>
      </c>
      <c r="D17" s="23" t="s">
        <v>231</v>
      </c>
      <c r="E17" s="5">
        <v>92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C9BB70-5D05-4C29-9A7E-2C812029D5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NZ Staff</vt:lpstr>
      <vt:lpstr>India Staff</vt:lpstr>
      <vt:lpstr>All staff</vt:lpstr>
      <vt:lpstr>Report card to show NZ vs. IND</vt:lpstr>
      <vt:lpstr>Info finder 2.0</vt:lpstr>
      <vt:lpstr>Male vs female</vt:lpstr>
      <vt:lpstr>Salary spread</vt:lpstr>
      <vt:lpstr>Salary vs Rating</vt:lpstr>
      <vt:lpstr>Employee Trend over time</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Shwetha Poojary</dc:creator>
  <cp:lastModifiedBy>Shwetha Poojary</cp:lastModifiedBy>
  <dcterms:created xsi:type="dcterms:W3CDTF">2024-04-09T11:21:18Z</dcterms:created>
  <dcterms:modified xsi:type="dcterms:W3CDTF">2024-04-10T07:51:03Z</dcterms:modified>
</cp:coreProperties>
</file>